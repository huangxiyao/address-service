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checkCompatibility="1" defaultThemeVersion="124226"/>
  <bookViews>
    <workbookView xWindow="-15" yWindow="-15" windowWidth="20010" windowHeight="12315" tabRatio="871" activeTab="1"/>
  </bookViews>
  <sheets>
    <sheet name="Instructions" sheetId="9" r:id="rId1"/>
    <sheet name="Contact And Business Process" sheetId="1" r:id="rId2"/>
    <sheet name="Custom Runtime Settings" sheetId="7" r:id="rId3"/>
    <sheet name="Change Control" sheetId="3" r:id="rId4"/>
    <sheet name="Example" sheetId="15" r:id="rId5"/>
    <sheet name="Adding a new BAC Monitor" sheetId="16" r:id="rId6"/>
    <sheet name="Changing a BAC monitor" sheetId="17" r:id="rId7"/>
  </sheets>
  <definedNames>
    <definedName name="_xlnm._FilterDatabase" localSheetId="1" hidden="1">'Contact And Business Process'!$F$10:$G$18</definedName>
    <definedName name="_xlnm._FilterDatabase" localSheetId="4" hidden="1">Example!$F$10:$G$18</definedName>
    <definedName name="Data_Management" localSheetId="4">Example!$R$12:$R$14</definedName>
    <definedName name="Data_Management">'Contact And Business Process'!$U$12:$U$14</definedName>
    <definedName name="ECO" localSheetId="4">Example!$P$18:$P$27</definedName>
    <definedName name="ECO">'Contact And Business Process'!$V$18:$V$26</definedName>
    <definedName name="EDS" localSheetId="4">Example!$P$29</definedName>
    <definedName name="EDS">'Contact And Business Process'!$P$29</definedName>
    <definedName name="FAIT" localSheetId="4">Example!$P$31:$P$40</definedName>
    <definedName name="FAIT">'Contact And Business Process'!$P$32:$P$36</definedName>
    <definedName name="GITFS" localSheetId="4">Example!$P$44:$P$47</definedName>
    <definedName name="GITFS">'Contact And Business Process'!$P$38:$P$48</definedName>
    <definedName name="GlobalTelecom_ITSEC" localSheetId="4">Example!$P$51:$P$53</definedName>
    <definedName name="GlobalTelecom_ITSEC">'Contact And Business Process'!#REF!</definedName>
    <definedName name="IPG" localSheetId="4">Example!$P$57:$P$63</definedName>
    <definedName name="IPG">'Contact And Business Process'!#REF!</definedName>
    <definedName name="ITIO" localSheetId="4">Example!$O$67:$O$73</definedName>
    <definedName name="ITIO">'Contact And Business Process'!#REF!</definedName>
    <definedName name="Non_IT_Owned" localSheetId="4">Example!$O$95:$O$96</definedName>
    <definedName name="Non_IT_Owned">'Contact And Business Process'!$O$76:$O$77</definedName>
    <definedName name="OTHER" localSheetId="4">Example!#REF!</definedName>
    <definedName name="OTHER">'Contact And Business Process'!#REF!</definedName>
    <definedName name="_xlnm.Print_Area" localSheetId="1">'Contact And Business Process'!$A$1:$G$37</definedName>
    <definedName name="_xlnm.Print_Area" localSheetId="4">Example!$A$1:$G$38</definedName>
    <definedName name="SAP_SC" localSheetId="4">Example!$O$77:$O$81</definedName>
    <definedName name="SAP_SC">'Contact And Business Process'!$O$58:$O$62</definedName>
    <definedName name="TSG" localSheetId="4">Example!$O$85:$O$93</definedName>
    <definedName name="TSG">'Contact And Business Process'!$O$66:$O$74</definedName>
  </definedNames>
  <calcPr calcId="125725"/>
</workbook>
</file>

<file path=xl/calcChain.xml><?xml version="1.0" encoding="utf-8"?>
<calcChain xmlns="http://schemas.openxmlformats.org/spreadsheetml/2006/main">
  <c r="C55" i="1"/>
  <c r="L54"/>
  <c r="L49"/>
  <c r="L44"/>
  <c r="L39"/>
  <c r="C27"/>
  <c r="G23"/>
  <c r="G22"/>
  <c r="L32" i="15"/>
  <c r="H29"/>
  <c r="C29"/>
  <c r="L27"/>
  <c r="L28" s="1"/>
  <c r="L31" s="1"/>
  <c r="G27"/>
  <c r="C27"/>
  <c r="L26"/>
  <c r="L29" s="1"/>
  <c r="L30" s="1"/>
  <c r="L24"/>
  <c r="G23"/>
  <c r="G22"/>
  <c r="L19"/>
  <c r="L18"/>
  <c r="L20" s="1"/>
  <c r="C28" s="1"/>
  <c r="H29" i="1"/>
  <c r="C29"/>
  <c r="L33"/>
  <c r="L19"/>
  <c r="L18"/>
  <c r="L20" s="1"/>
  <c r="C28" s="1"/>
  <c r="C50" s="1"/>
  <c r="L16"/>
  <c r="L27"/>
  <c r="L28" s="1"/>
  <c r="L32" s="1"/>
  <c r="L26"/>
  <c r="L29" s="1"/>
  <c r="L30" s="1"/>
  <c r="G27"/>
  <c r="L24"/>
  <c r="C45" l="1"/>
  <c r="C40"/>
  <c r="L33" i="15"/>
  <c r="C20" s="1"/>
  <c r="C61"/>
  <c r="C43"/>
  <c r="C70"/>
  <c r="C52"/>
  <c r="C34"/>
  <c r="C35" i="1"/>
  <c r="L34"/>
  <c r="C20" s="1"/>
</calcChain>
</file>

<file path=xl/comments1.xml><?xml version="1.0" encoding="utf-8"?>
<comments xmlns="http://schemas.openxmlformats.org/spreadsheetml/2006/main">
  <authors>
    <author>aramaa</author>
    <author>friedent</author>
    <author>Falgout, Ronnie</author>
  </authors>
  <commentList>
    <comment ref="B12" authorId="0">
      <text>
        <r>
          <rPr>
            <sz val="10"/>
            <color indexed="81"/>
            <rFont val="Tahoma"/>
            <family val="2"/>
          </rPr>
          <t xml:space="preserve">
</t>
        </r>
        <r>
          <rPr>
            <sz val="10"/>
            <color indexed="12"/>
            <rFont val="Tahoma"/>
            <family val="2"/>
          </rPr>
          <t>Data_Management  =  Data Management
ECO  =  ECO/ Commercial Sales/ Mktg/ Regions
FAIT   = Finance and Administration IT (FAIT)
GITFS   = Global IT - Financial Services (GITFS)
GlobalTelecom_ITSEC = Global Telecommunications &amp; Global IT Security
IPG   = Imaging &amp; Printing Group (IPG)
ITIO   = IT Infrastructure and Operations
SAP_SC  =  SAP &amp; Supply Chain Systems
TSG  =  TSG IT</t>
        </r>
      </text>
    </comment>
    <comment ref="F22" authorId="0">
      <text>
        <r>
          <rPr>
            <sz val="10"/>
            <color indexed="81"/>
            <rFont val="Tahoma"/>
            <family val="2"/>
          </rPr>
          <t>Monitoring Services Engagement team person responsible for guiding the request through the process</t>
        </r>
      </text>
    </comment>
    <comment ref="F23" authorId="0">
      <text>
        <r>
          <rPr>
            <sz val="10"/>
            <color indexed="81"/>
            <rFont val="Tahoma"/>
            <family val="2"/>
          </rPr>
          <t>Example: email@hp.com</t>
        </r>
      </text>
    </comment>
    <comment ref="B27" authorId="1">
      <text>
        <r>
          <rPr>
            <sz val="10"/>
            <color indexed="81"/>
            <rFont val="Tahoma"/>
            <family val="2"/>
          </rPr>
          <t>This value is grabbed from the 'Contact And Customer Profile'</t>
        </r>
      </text>
    </comment>
    <comment ref="B32" authorId="2">
      <text>
        <r>
          <rPr>
            <sz val="8"/>
            <color indexed="81"/>
            <rFont val="Tahoma"/>
            <family val="2"/>
          </rPr>
          <t>The</t>
        </r>
        <r>
          <rPr>
            <b/>
            <sz val="8"/>
            <color indexed="81"/>
            <rFont val="Tahoma"/>
            <family val="2"/>
          </rPr>
          <t xml:space="preserve"> Transaction Description</t>
        </r>
        <r>
          <rPr>
            <sz val="8"/>
            <color indexed="81"/>
            <rFont val="Tahoma"/>
            <family val="2"/>
          </rPr>
          <t xml:space="preserve"> you choose used to show how the data appears inside BAC.
Note: 
1. You are limited to 15 characters.
2. You should avoid using special characters in transaction names (i.e. \ / : " &lt; , # . )
3. Spaces are not allowed in the Transaction Description
</t>
        </r>
      </text>
    </comment>
  </commentList>
</comments>
</file>

<file path=xl/comments2.xml><?xml version="1.0" encoding="utf-8"?>
<comments xmlns="http://schemas.openxmlformats.org/spreadsheetml/2006/main">
  <authors>
    <author>friedent</author>
    <author>aramaa</author>
    <author>Simon Eddison</author>
  </authors>
  <commentList>
    <comment ref="C5" authorId="0">
      <text>
        <r>
          <rPr>
            <sz val="10"/>
            <color indexed="81"/>
            <rFont val="Tahoma"/>
            <family val="2"/>
          </rPr>
          <t>Many customer internal BPMs require a custom proxy setting.  However, most cases can be handled generically by having us set the "Use Default Browser" setting in the script.</t>
        </r>
      </text>
    </comment>
    <comment ref="C6" authorId="0">
      <text>
        <r>
          <rPr>
            <sz val="10"/>
            <color indexed="81"/>
            <rFont val="Tahoma"/>
            <family val="2"/>
          </rPr>
          <t>We can throttle back the download speed by changing this setting</t>
        </r>
      </text>
    </comment>
    <comment ref="C7" authorId="0">
      <text>
        <r>
          <rPr>
            <sz val="10"/>
            <color indexed="81"/>
            <rFont val="Tahoma"/>
            <family val="2"/>
          </rPr>
          <t>The Custom User Agent String is a header sent as part of every HTTP request.  The current settings tell the server that we are running IE 6.0, with Mozilla compatibility.  However, we can send any user agent string you want to send.</t>
        </r>
      </text>
    </comment>
    <comment ref="C8" authorId="0">
      <text>
        <r>
          <rPr>
            <sz val="10"/>
            <color indexed="81"/>
            <rFont val="Tahoma"/>
            <family val="2"/>
          </rPr>
          <t>Internet Explorer and Firefox will timeout and will stop downloading a page after 120 seconds. By default, we use the same timeout and consider this timeout a transaction failure. Changing this option changes the timeout for downloading every object on the page.</t>
        </r>
      </text>
    </comment>
    <comment ref="C11" authorId="0">
      <text>
        <r>
          <rPr>
            <sz val="10"/>
            <color indexed="81"/>
            <rFont val="Tahoma"/>
            <family val="2"/>
          </rPr>
          <t>When a transaction fails, it may cause subsequent cascading failures.  i.e.: a login step fails, and so the later steps fail.  
Turning this option off will stop the script when the first transaction fails, so cascading failures do not occur.  Talk to your BAC Engagement representative to see how to effectively use this setting</t>
        </r>
      </text>
    </comment>
    <comment ref="C12" authorId="0">
      <text>
        <r>
          <rPr>
            <sz val="10"/>
            <color indexed="81"/>
            <rFont val="Tahoma"/>
            <family val="2"/>
          </rPr>
          <t xml:space="preserve">If this option is turned off, the caching within this script execution is turned off.  Please note, the cache is always emptied between executions of the script, this option just sets the script to not cache during THIS execution.  </t>
        </r>
      </text>
    </comment>
    <comment ref="B15" authorId="1">
      <text>
        <r>
          <rPr>
            <sz val="10"/>
            <color indexed="81"/>
            <rFont val="Tahoma"/>
            <family val="2"/>
          </rPr>
          <t>see example in first two lines.</t>
        </r>
      </text>
    </comment>
    <comment ref="C28" authorId="2">
      <text>
        <r>
          <rPr>
            <sz val="10"/>
            <color indexed="81"/>
            <rFont val="Tahoma"/>
            <family val="2"/>
          </rPr>
          <t>Eg: Tuxedo, SAP, DCOM etc</t>
        </r>
      </text>
    </comment>
    <comment ref="C29" authorId="2">
      <text>
        <r>
          <rPr>
            <sz val="10"/>
            <color indexed="81"/>
            <rFont val="Tahoma"/>
            <family val="2"/>
          </rPr>
          <t>Downlaod location of the client. This is required to write the script and for each location where the script will be run.</t>
        </r>
      </text>
    </comment>
    <comment ref="C30" authorId="2">
      <text>
        <r>
          <rPr>
            <sz val="10"/>
            <color indexed="81"/>
            <rFont val="Tahoma"/>
            <family val="2"/>
          </rPr>
          <t>Instructions on how to install and configure the client.</t>
        </r>
      </text>
    </comment>
    <comment ref="C31" authorId="2">
      <text>
        <r>
          <rPr>
            <sz val="10"/>
            <color indexed="81"/>
            <rFont val="Tahoma"/>
            <family val="2"/>
          </rPr>
          <t>Username and any other information needed to login. Passwords should not be included here but emailed to the Engineering contact.</t>
        </r>
      </text>
    </comment>
  </commentList>
</comments>
</file>

<file path=xl/comments3.xml><?xml version="1.0" encoding="utf-8"?>
<comments xmlns="http://schemas.openxmlformats.org/spreadsheetml/2006/main">
  <authors>
    <author>aramaa</author>
    <author>jfriedenthal</author>
    <author>Mercury</author>
  </authors>
  <commentList>
    <comment ref="B2" authorId="0">
      <text>
        <r>
          <rPr>
            <sz val="10"/>
            <color indexed="81"/>
            <rFont val="Tahoma"/>
            <family val="2"/>
          </rPr>
          <t>See example in first line.</t>
        </r>
      </text>
    </comment>
    <comment ref="B3" authorId="1">
      <text>
        <r>
          <rPr>
            <sz val="10"/>
            <color indexed="81"/>
            <rFont val="Tahoma"/>
            <family val="2"/>
          </rPr>
          <t>Version # Goes here, i.e.. 1.0, 1.1, 1.2, etc</t>
        </r>
      </text>
    </comment>
    <comment ref="C3" authorId="1">
      <text>
        <r>
          <rPr>
            <sz val="10"/>
            <color indexed="81"/>
            <rFont val="Tahoma"/>
            <family val="2"/>
          </rPr>
          <t>Name of the person making the request</t>
        </r>
      </text>
    </comment>
    <comment ref="D3" authorId="1">
      <text>
        <r>
          <rPr>
            <sz val="10"/>
            <color indexed="81"/>
            <rFont val="Tahoma"/>
            <family val="2"/>
          </rPr>
          <t>Date change was made to this document</t>
        </r>
      </text>
    </comment>
    <comment ref="E3" authorId="2">
      <text>
        <r>
          <rPr>
            <sz val="10"/>
            <color indexed="81"/>
            <rFont val="Tahoma"/>
            <family val="2"/>
          </rPr>
          <t>The Service Request (SR) number assigned for this request by MSS (If number isn't known, leave blank)</t>
        </r>
      </text>
    </comment>
    <comment ref="F3" authorId="1">
      <text>
        <r>
          <rPr>
            <sz val="10"/>
            <color indexed="81"/>
            <rFont val="Tahoma"/>
            <family val="2"/>
          </rPr>
          <t>A description of changes made to this document</t>
        </r>
      </text>
    </comment>
  </commentList>
</comments>
</file>

<file path=xl/comments4.xml><?xml version="1.0" encoding="utf-8"?>
<comments xmlns="http://schemas.openxmlformats.org/spreadsheetml/2006/main">
  <authors>
    <author>aramaa</author>
    <author>friedent</author>
    <author>Falgout, Ronnie</author>
  </authors>
  <commentList>
    <comment ref="B12" authorId="0">
      <text>
        <r>
          <rPr>
            <sz val="10"/>
            <color indexed="81"/>
            <rFont val="Tahoma"/>
            <family val="2"/>
          </rPr>
          <t xml:space="preserve">
</t>
        </r>
        <r>
          <rPr>
            <sz val="10"/>
            <color indexed="12"/>
            <rFont val="Tahoma"/>
            <family val="2"/>
          </rPr>
          <t>Data_Management  =  Data Management
ECO  =  ECO/ Commercial Sales/ Mktg/ Regions
FAIT   = Finance and Administration IT (FAIT)
GITFS   = Global IT - Financial Services (GITFS)
GlobalTelecom_ITSEC = Global Telecommunications &amp; Global IT Security
IPG   = Imaging &amp; Printing Group (IPG)
ITIO   = IT Infrastructure and Operations
SAP_SC  =  SAP &amp; Supply Chain Systems
TSG  =  TSG IT</t>
        </r>
      </text>
    </comment>
    <comment ref="F22" authorId="0">
      <text>
        <r>
          <rPr>
            <sz val="10"/>
            <color indexed="81"/>
            <rFont val="Tahoma"/>
            <family val="2"/>
          </rPr>
          <t>Monitoring Services Engagement team person responsible for guiding the request through the process</t>
        </r>
      </text>
    </comment>
    <comment ref="F23" authorId="0">
      <text>
        <r>
          <rPr>
            <sz val="10"/>
            <color indexed="81"/>
            <rFont val="Tahoma"/>
            <family val="2"/>
          </rPr>
          <t>Example: email@hp.com</t>
        </r>
      </text>
    </comment>
    <comment ref="B27" authorId="1">
      <text>
        <r>
          <rPr>
            <sz val="10"/>
            <color indexed="81"/>
            <rFont val="Tahoma"/>
            <family val="2"/>
          </rPr>
          <t>This value is grabbed from the 'Contact And Customer Profile'</t>
        </r>
      </text>
    </comment>
    <comment ref="B31" authorId="2">
      <text>
        <r>
          <rPr>
            <sz val="8"/>
            <color indexed="81"/>
            <rFont val="Tahoma"/>
            <family val="2"/>
          </rPr>
          <t>The</t>
        </r>
        <r>
          <rPr>
            <b/>
            <sz val="8"/>
            <color indexed="81"/>
            <rFont val="Tahoma"/>
            <family val="2"/>
          </rPr>
          <t xml:space="preserve"> Transaction Description</t>
        </r>
        <r>
          <rPr>
            <sz val="8"/>
            <color indexed="81"/>
            <rFont val="Tahoma"/>
            <family val="2"/>
          </rPr>
          <t xml:space="preserve"> you choose used to show how the data appears inside BAC.
Note: 
1. You are limited to 15 characters.
2. You should avoid using special characters in transaction names (i.e. \ / : " &lt; , # . )
3. Spaces are not allowed in the Transaction Description
</t>
        </r>
      </text>
    </comment>
  </commentList>
</comments>
</file>

<file path=xl/sharedStrings.xml><?xml version="1.0" encoding="utf-8"?>
<sst xmlns="http://schemas.openxmlformats.org/spreadsheetml/2006/main" count="605" uniqueCount="377">
  <si>
    <t>Phone number:</t>
  </si>
  <si>
    <t>E-mail address:</t>
  </si>
  <si>
    <t>Application Information</t>
  </si>
  <si>
    <t>Transaction Name</t>
  </si>
  <si>
    <t>Date</t>
  </si>
  <si>
    <t>Bob</t>
  </si>
  <si>
    <t>Initial Profile Definition</t>
  </si>
  <si>
    <t>Revised By</t>
  </si>
  <si>
    <t>Revision #</t>
  </si>
  <si>
    <t>Changes/Notes</t>
  </si>
  <si>
    <t>Category</t>
  </si>
  <si>
    <t>Setting</t>
  </si>
  <si>
    <t>Default</t>
  </si>
  <si>
    <t>Network</t>
  </si>
  <si>
    <t>Emulate Modem Speed</t>
  </si>
  <si>
    <t>None</t>
  </si>
  <si>
    <t>YES</t>
  </si>
  <si>
    <t>HTTP</t>
  </si>
  <si>
    <t>Timing</t>
  </si>
  <si>
    <t>120 seconds</t>
  </si>
  <si>
    <t>General</t>
  </si>
  <si>
    <t>Continue on Error</t>
  </si>
  <si>
    <t>GMT Offset</t>
  </si>
  <si>
    <t>Daylight Saving</t>
  </si>
  <si>
    <t>Sunday</t>
  </si>
  <si>
    <t>GMT -8:00</t>
  </si>
  <si>
    <t>US</t>
  </si>
  <si>
    <t>12:00-13:00</t>
  </si>
  <si>
    <t>Document Purpose:</t>
  </si>
  <si>
    <t>Special Instructions:</t>
  </si>
  <si>
    <t>Hour's the script shouldn’t run</t>
  </si>
  <si>
    <t>Day of the week/Date</t>
  </si>
  <si>
    <t>Customer Information</t>
  </si>
  <si>
    <t>Requestor Name:</t>
  </si>
  <si>
    <t>Use the following as a process checklist</t>
  </si>
  <si>
    <t>Custom Setting</t>
  </si>
  <si>
    <t>Modem</t>
  </si>
  <si>
    <t>128k ISDN</t>
  </si>
  <si>
    <t>512k</t>
  </si>
  <si>
    <t>Custom</t>
  </si>
  <si>
    <t>Custom Timeout</t>
  </si>
  <si>
    <t>Custom Browser (User Agent String)</t>
  </si>
  <si>
    <t>Mozilla/4.0 (compatible; MSIE 6.0; Windows NT)</t>
  </si>
  <si>
    <t>Simulate Caching</t>
  </si>
  <si>
    <t>Proxy</t>
  </si>
  <si>
    <t>&lt;Use Default Browser Setting/Enter Custom Proxy&gt;</t>
  </si>
  <si>
    <t>&lt;Enter Desired Timeout&gt;</t>
  </si>
  <si>
    <t>See Business Process</t>
  </si>
  <si>
    <t>NO</t>
  </si>
  <si>
    <t>New Business Process or Modified Business Process Workflow</t>
  </si>
  <si>
    <t>Document Instructions</t>
  </si>
  <si>
    <t>Re-script</t>
  </si>
  <si>
    <t>Update</t>
  </si>
  <si>
    <t>Other</t>
  </si>
  <si>
    <t>Change Control</t>
  </si>
  <si>
    <r>
      <t xml:space="preserve">Custom Runtime Settings - HTTP/Web Only </t>
    </r>
    <r>
      <rPr>
        <b/>
        <sz val="14"/>
        <color indexed="22"/>
        <rFont val="Tahoma"/>
        <family val="2"/>
      </rPr>
      <t>(optional)</t>
    </r>
  </si>
  <si>
    <t>1-234567890</t>
  </si>
  <si>
    <t>Yes</t>
  </si>
  <si>
    <t>No</t>
  </si>
  <si>
    <t xml:space="preserve">  b.  The user ids and passwords have proper permissions to the application.</t>
  </si>
  <si>
    <t xml:space="preserve"> </t>
  </si>
  <si>
    <t>User Access Method:</t>
  </si>
  <si>
    <t>Internal (INTRAnet) facing</t>
  </si>
  <si>
    <t>External (Eservices or Internet) facing</t>
  </si>
  <si>
    <t>none</t>
  </si>
  <si>
    <t>Windows AD/Domain</t>
  </si>
  <si>
    <t>PKI</t>
  </si>
  <si>
    <t>Yes, see Custom Runtime Settings tab</t>
  </si>
  <si>
    <t>Application Criticality:</t>
  </si>
  <si>
    <t>Mission Critical</t>
  </si>
  <si>
    <t>Entity Essential</t>
  </si>
  <si>
    <t>Normal</t>
  </si>
  <si>
    <t>HPIT Monitoring Services: Business Process Template</t>
  </si>
  <si>
    <t>This template will be used to create a walk-through of monitored applications.  The structure of the document will help identify the start and stop times for monitoring and identify where this script will be launched from.  This process will then be used by Monitoring Services to create a script for the given process.  For further questions on creation of a business process, please refer to the document "HP MSS Best Practices: Developing a Business Process".</t>
  </si>
  <si>
    <t>HPIT Monitoring Services Internal Information</t>
  </si>
  <si>
    <t>Monitoring Engagement Contact:</t>
  </si>
  <si>
    <t>This section is used for documenting script-level customizations.  The most common customizations are listed below.  For more details on these, please contact your Monitoring Services engagement representative.</t>
  </si>
  <si>
    <t>SR # or RFC #</t>
  </si>
  <si>
    <t>L2 (Business Unit)</t>
  </si>
  <si>
    <t>L3 (Line of Business)</t>
  </si>
  <si>
    <t>Data Management</t>
  </si>
  <si>
    <t>Global Business Intelligence and EDW</t>
  </si>
  <si>
    <t>Global Database Administrators</t>
  </si>
  <si>
    <t>Product Development IT</t>
  </si>
  <si>
    <t>ECO/ Commercial Sales/ Mktg/ Regions</t>
  </si>
  <si>
    <t>ECO Direct</t>
  </si>
  <si>
    <t>ECO IT Strategy, Planning &amp; Architecture</t>
  </si>
  <si>
    <t>ECO Knowledge and Intranet Management</t>
  </si>
  <si>
    <t>ECO Marketing</t>
  </si>
  <si>
    <t>ECO Partner</t>
  </si>
  <si>
    <t>ECO PSG IT</t>
  </si>
  <si>
    <t>ECO Sales</t>
  </si>
  <si>
    <t>ECO Shared Applications</t>
  </si>
  <si>
    <t>ECO Support</t>
  </si>
  <si>
    <t>Finance and Administration IT (FAIT)</t>
  </si>
  <si>
    <t>Finance and Administration IT (FAIT) [parent]</t>
  </si>
  <si>
    <t>Cash Flow Management Solutions</t>
  </si>
  <si>
    <t>Corporate Administrative Solutions</t>
  </si>
  <si>
    <t>Employee Financial Solutions</t>
  </si>
  <si>
    <t>Financial Planning, Acctg &amp; Consolidation (FPAC)</t>
  </si>
  <si>
    <t>Global Procurement (GP)</t>
  </si>
  <si>
    <t>Global IT - Financial Services (GITFS)</t>
  </si>
  <si>
    <t>HP Financial Services (HPFS)</t>
  </si>
  <si>
    <t>Human Resources IT (HR)</t>
  </si>
  <si>
    <t>IT for IT (IT4IT)</t>
  </si>
  <si>
    <t>Legal, Ethics &amp; Compliance IT</t>
  </si>
  <si>
    <t>Global Telecommunications &amp; Global IT Security</t>
  </si>
  <si>
    <t>Global Telecommunications &amp; Global IT Security [parent]</t>
  </si>
  <si>
    <t>Global IT Security</t>
  </si>
  <si>
    <t>Global Telecommunications</t>
  </si>
  <si>
    <t>Imaging &amp; Printing Group (IPG)</t>
  </si>
  <si>
    <t>IPG IT Application Support &amp; Operations (ASO)</t>
  </si>
  <si>
    <t>IPG IT Business Infrastructure</t>
  </si>
  <si>
    <t>IPG IT Business Operations</t>
  </si>
  <si>
    <t>IPG IT Consumer Support and PDM (CS&amp;PDM)</t>
  </si>
  <si>
    <t>IPG IT Customer Touch</t>
  </si>
  <si>
    <t>IPG IT Factory Systems</t>
  </si>
  <si>
    <t>IPG IT Global Business Unit (GBU)</t>
  </si>
  <si>
    <t>IT Infrastructure and Operations</t>
  </si>
  <si>
    <t>IT Infrastructure and Operations [parent]</t>
  </si>
  <si>
    <t>ITIO-Business Operations</t>
  </si>
  <si>
    <t>ITIO-Core Infrastructure Service Mgmt</t>
  </si>
  <si>
    <t>ITIO-End-User Services</t>
  </si>
  <si>
    <t>ITIO-Information Technology CTO</t>
  </si>
  <si>
    <t>ITIO-Infrastructure Specialty Services and Ops</t>
  </si>
  <si>
    <t>ITIO-Infrastructure Support Operations</t>
  </si>
  <si>
    <t>SAP &amp; Supply Chain Systems</t>
  </si>
  <si>
    <t>Global SAP &amp; Supply Chain Operations IT</t>
  </si>
  <si>
    <t>SCIT-Manufacturing Logistics and Global Trade</t>
  </si>
  <si>
    <t>SCIT-Order Management Finance and End-to-End Arch</t>
  </si>
  <si>
    <t>SCIT-Planning Procurement, and Collaboration</t>
  </si>
  <si>
    <t>SCIT-WWIS</t>
  </si>
  <si>
    <t>TSG IT</t>
  </si>
  <si>
    <t>TSG IT [parent]</t>
  </si>
  <si>
    <t>Data_Management</t>
  </si>
  <si>
    <t>ECO</t>
  </si>
  <si>
    <t>FAIT</t>
  </si>
  <si>
    <t>GITFS</t>
  </si>
  <si>
    <t>GlobalTelecom_ITSEC</t>
  </si>
  <si>
    <t>IPG</t>
  </si>
  <si>
    <t>ITIO</t>
  </si>
  <si>
    <t>SAP_SC</t>
  </si>
  <si>
    <t>TSG</t>
  </si>
  <si>
    <t>Client Server Information</t>
  </si>
  <si>
    <t>This section is only used for Client Server Applications</t>
  </si>
  <si>
    <t>Client Server Protocol</t>
  </si>
  <si>
    <t>Client Download location</t>
  </si>
  <si>
    <t>Client Install and Configuration instructions</t>
  </si>
  <si>
    <t>Login information</t>
  </si>
  <si>
    <t>Other details necessary to run client</t>
  </si>
  <si>
    <t>Notes</t>
  </si>
  <si>
    <t xml:space="preserve">Application Access Direction: </t>
  </si>
  <si>
    <t>Hosting Datacenter:</t>
  </si>
  <si>
    <t>Digital Certificate Attributes</t>
  </si>
  <si>
    <t>UID</t>
  </si>
  <si>
    <t>Employee Number</t>
  </si>
  <si>
    <t xml:space="preserve"> Business Process Naming Standards</t>
  </si>
  <si>
    <t>BPM Template Name:</t>
  </si>
  <si>
    <t>1. Conform to the Application Instance Part CI standards defined by the IT Configuration Management team</t>
  </si>
  <si>
    <t>2. Be unique within all of BAC</t>
  </si>
  <si>
    <t>BPM Transaction Names:</t>
  </si>
  <si>
    <t>15 min's</t>
  </si>
  <si>
    <t>30 min's</t>
  </si>
  <si>
    <t>60 min's</t>
  </si>
  <si>
    <t>Color Key</t>
  </si>
  <si>
    <t>User Input Required</t>
  </si>
  <si>
    <t>User Input Optional</t>
  </si>
  <si>
    <t>BAC Administrative Use Only</t>
  </si>
  <si>
    <t>TSG Enterprise Servers &amp; Solutions</t>
  </si>
  <si>
    <t>TSG Global Parts Supply Chain</t>
  </si>
  <si>
    <t>TSG Global Support &amp; Regional Engagement</t>
  </si>
  <si>
    <t>TSG Global Warranty</t>
  </si>
  <si>
    <t>TSG HPSW</t>
  </si>
  <si>
    <t>TSG Services Delivery IT</t>
  </si>
  <si>
    <t>TSG Services Engagement &amp; Operations IT</t>
  </si>
  <si>
    <t>TSG Services R&amp;D</t>
  </si>
  <si>
    <t>Development (IT Owner) L2:</t>
  </si>
  <si>
    <t>Development (IT Owner) L3:</t>
  </si>
  <si>
    <t>Non-IT Owned</t>
  </si>
  <si>
    <t>Non-IT Owned [parent]</t>
  </si>
  <si>
    <t>Non-IT Owned-IPG IT GBU</t>
  </si>
  <si>
    <t>Non_IT_Owned</t>
  </si>
  <si>
    <t>CMDB Information</t>
  </si>
  <si>
    <t>Application Instance Part CI for this BAC monitor:</t>
  </si>
  <si>
    <t>Application or Solution Name:</t>
  </si>
  <si>
    <t>HP Passport</t>
  </si>
  <si>
    <t>Siteminder SAE (email@hp.com)</t>
  </si>
  <si>
    <t>Siteminder Certificate</t>
  </si>
  <si>
    <t>EPR  or Solution ID:</t>
  </si>
  <si>
    <t>TBD (To Be Determined)</t>
  </si>
  <si>
    <t>The information provided in this tab should be reflected from the data within Apate.</t>
  </si>
  <si>
    <t xml:space="preserve">http://apate.corp.hp.com/ </t>
  </si>
  <si>
    <t>BAC Directory Container:</t>
  </si>
  <si>
    <t>Script or Business Process Name:</t>
  </si>
  <si>
    <t>Change Type:</t>
  </si>
  <si>
    <t>[Profile_Name&lt;_Business_Process&gt;]</t>
  </si>
  <si>
    <t>Transaction Description</t>
  </si>
  <si>
    <t>In general this is not necessary for most applications.  This is only used for application downtimes at the default profile-level.  For specifying such dates and hours fill in the following table: (see examples in first two rows)</t>
  </si>
  <si>
    <t>Downtime Description</t>
  </si>
  <si>
    <t>"Homepage Scheduled Outage"</t>
  </si>
  <si>
    <t>[Script_Name]_[Transaction_Description]</t>
  </si>
  <si>
    <t>APJ</t>
  </si>
  <si>
    <t>EMEA</t>
  </si>
  <si>
    <t>NA</t>
  </si>
  <si>
    <t>APJ, EMEA, NA</t>
  </si>
  <si>
    <t>EMEA, NA</t>
  </si>
  <si>
    <t>APJ, EMEA</t>
  </si>
  <si>
    <t>APJ, NA</t>
  </si>
  <si>
    <t>Application Access Direction:</t>
  </si>
  <si>
    <t>Application Access Method:</t>
  </si>
  <si>
    <t>HOME</t>
  </si>
  <si>
    <t>Restricted to 50 characters and all UPPER case</t>
  </si>
  <si>
    <t>Monitoring Account Name</t>
  </si>
  <si>
    <t>SEA</t>
  </si>
  <si>
    <t>Employee ID</t>
  </si>
  <si>
    <t>ITMSBACITIO001@americas.hpqcorp.net</t>
  </si>
  <si>
    <t>a0000004</t>
  </si>
  <si>
    <t>ITMSBACITIO002@americas.hpqcorp.net</t>
  </si>
  <si>
    <t>a0000005</t>
  </si>
  <si>
    <t>SOX Compliance statement regarding Monitoring Account Usage</t>
  </si>
  <si>
    <t xml:space="preserve">http://enhanced1.sharepoint.hp.com/teams/hpitbac_pub/BAC_Training/Security_Guidance/BAC_BPM-Security-Guidance.aspx </t>
  </si>
  <si>
    <t>BPIA</t>
  </si>
  <si>
    <t>Application Logon</t>
  </si>
  <si>
    <t>Americas\ITMSBACITIO001</t>
  </si>
  <si>
    <t>Americas\ITMSBACITIO002</t>
  </si>
  <si>
    <t>User-Agent = HPBAC</t>
  </si>
  <si>
    <t>([PARTNAME] field within Application Instance Part CI)</t>
  </si>
  <si>
    <t>EDS</t>
  </si>
  <si>
    <t>EDS IT</t>
  </si>
  <si>
    <t>version: 5.0 - Self-Service POC</t>
  </si>
  <si>
    <t>Tom Grant</t>
  </si>
  <si>
    <t>Beau Brown</t>
  </si>
  <si>
    <t>Natasha Cooks</t>
  </si>
  <si>
    <t>Fariba Alavi</t>
  </si>
  <si>
    <t>Ronnie Falgout</t>
  </si>
  <si>
    <t>Kirk Duwe</t>
  </si>
  <si>
    <t>Felecia Johnson</t>
  </si>
  <si>
    <t>tom.grant@hp.com</t>
  </si>
  <si>
    <t>beau.brown@hp.com</t>
  </si>
  <si>
    <t>natasha.cooks@hp.com</t>
  </si>
  <si>
    <t>fariba.alavi@hp.com</t>
  </si>
  <si>
    <t>ronnie.falgout@hp.com</t>
  </si>
  <si>
    <t>kirk.duwe@hp.com</t>
  </si>
  <si>
    <t>felecia.johnson@hp.com</t>
  </si>
  <si>
    <t>Business Process Definition</t>
  </si>
  <si>
    <t>ADD</t>
  </si>
  <si>
    <t>DELETE</t>
  </si>
  <si>
    <r>
      <t xml:space="preserve">Business Process Name:
</t>
    </r>
    <r>
      <rPr>
        <sz val="10"/>
        <color indexed="26"/>
        <rFont val="Tahoma"/>
        <family val="2"/>
      </rPr>
      <t>(10 Characters or less)</t>
    </r>
  </si>
  <si>
    <t>Application Access Direction</t>
  </si>
  <si>
    <t>Internal (INTRAnet facing)</t>
  </si>
  <si>
    <t>External (INTERnet facing)</t>
  </si>
  <si>
    <t>Both (Used internally and Externally)</t>
  </si>
  <si>
    <t>User Access Method</t>
  </si>
  <si>
    <t>Austin 1</t>
  </si>
  <si>
    <t>Austin 2</t>
  </si>
  <si>
    <t>Houston 3</t>
  </si>
  <si>
    <t>Houston 4</t>
  </si>
  <si>
    <t>Atlanta 5</t>
  </si>
  <si>
    <t>Atlanta 6</t>
  </si>
  <si>
    <t>Hosting Datacentre</t>
  </si>
  <si>
    <t>Non-NGDC</t>
  </si>
  <si>
    <t>Houston West</t>
  </si>
  <si>
    <r>
      <t>Application Instance CI within the CMDB:</t>
    </r>
    <r>
      <rPr>
        <b/>
        <sz val="10"/>
        <color indexed="10"/>
        <rFont val="Tahoma"/>
        <family val="2"/>
      </rPr>
      <t xml:space="preserve"> 
</t>
    </r>
    <r>
      <rPr>
        <b/>
        <sz val="12"/>
        <color indexed="10"/>
        <rFont val="Tahoma"/>
        <family val="2"/>
      </rPr>
      <t>(Must begin with HPIT:)</t>
    </r>
  </si>
  <si>
    <t>Transaction Two Short Description</t>
  </si>
  <si>
    <t>Transaction Three Short Description</t>
  </si>
  <si>
    <t>Transaction Four Short Description</t>
  </si>
  <si>
    <t>Transaction Five Short Description</t>
  </si>
  <si>
    <t>Transaction Two Name in BAC</t>
  </si>
  <si>
    <t>Transaction One Name in BAC</t>
  </si>
  <si>
    <t>Transaction Three Name in BAC</t>
  </si>
  <si>
    <t>Transaction Four Name in BAC</t>
  </si>
  <si>
    <t>Transaction Five Name in BAC</t>
  </si>
  <si>
    <t xml:space="preserve">Transaction One Short Description </t>
  </si>
  <si>
    <t>Transaction One Description. (Step by Step process user would follow for this transaction)</t>
  </si>
  <si>
    <t>Transaction Two Description. (Step by Step process user would follow for this transaction</t>
  </si>
  <si>
    <t>Transaction Three Description. (Step by Step process user would follow for this transaction</t>
  </si>
  <si>
    <t>Transaction Four Description. (Step by Step process user would follow for this transaction</t>
  </si>
  <si>
    <t>Transaction Five Description. (Step by Step process user would follow for this transaction</t>
  </si>
  <si>
    <t>&lt;&lt; Copy and Paste into the Transaction Name Box for the 1st Transaction in Vugen</t>
  </si>
  <si>
    <t>&lt;&lt; Copy and Paste into the Transaction Name Box for the 3rd Transaction in Vugen</t>
  </si>
  <si>
    <t>&lt;&lt; Copy and Paste into the Transaction Name Box for the 2nd Transaction in Vugen</t>
  </si>
  <si>
    <t>&lt;&lt; Copy and Paste into the Transaction Name Box for the 4th Transaction in Vugen</t>
  </si>
  <si>
    <t>&lt;&lt; Copy and Paste into the Transaction Name Box for the 5th Transaction in Vugen</t>
  </si>
  <si>
    <t>BAC Profile Name:</t>
  </si>
  <si>
    <t xml:space="preserve">&lt;&lt; THIS MUST BE THE NAME OF THE VUGEN SCRIPT. </t>
  </si>
  <si>
    <t>&lt;&lt; THIS MUST BE THE NAME OF THE PROFILE in BAC</t>
  </si>
  <si>
    <t>LOGIN</t>
  </si>
  <si>
    <t>Simon Eddison</t>
  </si>
  <si>
    <t>+44 7968 727045</t>
  </si>
  <si>
    <t>czar@hp.com</t>
  </si>
  <si>
    <t>hpit:w-swsuponline-prd</t>
  </si>
  <si>
    <t>HP SSO</t>
  </si>
  <si>
    <t>hpit:w_swsuponline_prd</t>
  </si>
  <si>
    <t>Go to http://h20230.www2.hp.com</t>
  </si>
  <si>
    <t>Check for Text "Software Support Online"</t>
  </si>
  <si>
    <t>Click  Sign-in with HP Passport (top of the page)</t>
  </si>
  <si>
    <t>Click  Sign-in</t>
  </si>
  <si>
    <t xml:space="preserve">Enter User ID: BACMONSSO7, Password: XXXXXXX </t>
  </si>
  <si>
    <t>Check for text: Welcome, BACMONSSO7</t>
  </si>
  <si>
    <t>SEARCH_KDB</t>
  </si>
  <si>
    <t>Enter "Sitescopr error 1203" in the Enter question, phrase, keyword(s), or document id text box</t>
  </si>
  <si>
    <t>Click &gt;&gt; (search)</t>
  </si>
  <si>
    <t>Check for text "Page 1"</t>
  </si>
  <si>
    <t>End of Monitor</t>
  </si>
  <si>
    <t>Please fill out the Contact and Business Process tab prior to starting scripting. There are a number of critical fields that are used during the script creation process and it is impertive that they are correct or Alerting and Reporting will not function.</t>
  </si>
  <si>
    <t xml:space="preserve">  c.  If passwords or accounts will expire, make sure you have a process to account for this.</t>
  </si>
  <si>
    <t xml:space="preserve">  d.  Make sure there are no concurrency problems with monitors running your application at the same time or from the same usernames.</t>
  </si>
  <si>
    <t xml:space="preserve">  a.  The user ids &amp; passwords have all been created and work.</t>
  </si>
  <si>
    <t>3. Fill out the Custom Runtime setting tab if non-default settings are required. Also the Client-Server details if the app is Client server</t>
  </si>
  <si>
    <t>4.  Double-check the following:</t>
  </si>
  <si>
    <t>5. Once you have created the script and unit tested it, zip it up using Vugen Export to zip file option then add this template to the ZIP package before uploading to BAC ITG</t>
  </si>
  <si>
    <t>Type of Request</t>
  </si>
  <si>
    <t>Polling Interval</t>
  </si>
  <si>
    <t>Naming Std Formulas</t>
  </si>
  <si>
    <t>Must match the Application monitoring CI created in HPSC</t>
  </si>
  <si>
    <r>
      <t xml:space="preserve">1.  Fill out the following document with your personal contact details &lt;Contact and Business Process Tab&gt; (fields shaded </t>
    </r>
    <r>
      <rPr>
        <b/>
        <sz val="14"/>
        <color rgb="FF00B050"/>
        <rFont val="Tahoma"/>
        <family val="2"/>
      </rPr>
      <t>GREEN</t>
    </r>
    <r>
      <rPr>
        <sz val="14"/>
        <rFont val="Tahoma"/>
        <family val="2"/>
      </rPr>
      <t>).</t>
    </r>
  </si>
  <si>
    <r>
      <t>2.  Fill out all the required application details and the Transaction short names (fields shaded</t>
    </r>
    <r>
      <rPr>
        <sz val="14"/>
        <color rgb="FF00B050"/>
        <rFont val="Tahoma"/>
        <family val="2"/>
      </rPr>
      <t xml:space="preserve"> </t>
    </r>
    <r>
      <rPr>
        <b/>
        <sz val="14"/>
        <color rgb="FF00B050"/>
        <rFont val="Tahoma"/>
        <family val="2"/>
      </rPr>
      <t>GREEN</t>
    </r>
    <r>
      <rPr>
        <sz val="14"/>
        <rFont val="Tahoma"/>
        <family val="2"/>
      </rPr>
      <t>) &lt;Contact and Business Process Tab&gt;.</t>
    </r>
  </si>
  <si>
    <t>eg: ECO-N-SMB-PRD.xls</t>
  </si>
  <si>
    <t>eg: N-SMB-PRD</t>
  </si>
  <si>
    <t>eg: N_SMB_PRD_HOMEOFFICE</t>
  </si>
  <si>
    <t>eg: N_SMB_PRD_HOMEOFFICE_HOME</t>
  </si>
  <si>
    <t>[Business_Unit]-[BAC Profile Name].xls</t>
  </si>
  <si>
    <t>BPM Script Name:</t>
  </si>
  <si>
    <t>3. Be 25 characters or less and be in UPPER CASE</t>
  </si>
  <si>
    <t>Restricted to 75 characters and all UPPER CASE</t>
  </si>
  <si>
    <r>
      <t xml:space="preserve">[Application_Instance] </t>
    </r>
    <r>
      <rPr>
        <sz val="14"/>
        <color rgb="FFFF0000"/>
        <rFont val="Tahoma"/>
        <family val="2"/>
      </rPr>
      <t>without the leading hpit:</t>
    </r>
  </si>
  <si>
    <t>IT Monitoring Services provides two SiteMinder accounts for those applications protected SiteMinder that require End User Monitoring. These accounts are intended for simulating the end-user experience from both an availability and performance perspective. It is the responsibility of the Application teams to ensure these accounts are restricted to the appropriate security access as outlined by HP IT Security. The access to the passwords for these accounts is restricted within IT Monitoring Services and cannot be provided to the Application teams.</t>
  </si>
  <si>
    <t>Your Name</t>
  </si>
  <si>
    <t>you@hp.com</t>
  </si>
  <si>
    <t>Your Phone#</t>
  </si>
  <si>
    <t>Business Process Details</t>
  </si>
  <si>
    <r>
      <t>Custom Script/Transaction Scheduling</t>
    </r>
    <r>
      <rPr>
        <b/>
        <sz val="16"/>
        <color indexed="22"/>
        <rFont val="Tahoma"/>
        <family val="2"/>
      </rPr>
      <t xml:space="preserve"> (optional)</t>
    </r>
  </si>
  <si>
    <r>
      <t>January 1</t>
    </r>
    <r>
      <rPr>
        <i/>
        <vertAlign val="superscript"/>
        <sz val="16"/>
        <color indexed="8"/>
        <rFont val="Tahoma"/>
        <family val="2"/>
      </rPr>
      <t>st</t>
    </r>
  </si>
  <si>
    <t>BAC BPM Business Process Template</t>
  </si>
  <si>
    <t>This document is used to initiate or modify scripting for a particular business process or application. This document should be added to the Script Zip file.</t>
  </si>
  <si>
    <t>L2 Business Unit</t>
  </si>
  <si>
    <t>Container</t>
  </si>
  <si>
    <t xml:space="preserve">ES (Enterprise Services) </t>
  </si>
  <si>
    <t xml:space="preserve">GIT (Global IT - FAIT, CASS, HR) </t>
  </si>
  <si>
    <t>PLASMA - Sales &amp; Marketing</t>
  </si>
  <si>
    <t xml:space="preserve">PLASMA - PDE &amp; Date Archiving </t>
  </si>
  <si>
    <t>DM</t>
  </si>
  <si>
    <t>PLASMA - Legal</t>
  </si>
  <si>
    <t>EBIT (Enterprise Busines IT)</t>
  </si>
  <si>
    <t>IPG (Image &amp; Printing Group)</t>
  </si>
  <si>
    <t>PSG (Personal Systems Group)</t>
  </si>
  <si>
    <t>SC (Supply Chain)</t>
  </si>
  <si>
    <t>SC</t>
  </si>
  <si>
    <t>ITI (IT Infrastructure - ITI, GTS)</t>
  </si>
  <si>
    <t>IT Security</t>
  </si>
  <si>
    <t>GT</t>
  </si>
  <si>
    <t>DMITS (Data Management &amp; IT Services - EDW, GDBA, ITS)</t>
  </si>
  <si>
    <r>
      <t xml:space="preserve">Business Process Name:
</t>
    </r>
    <r>
      <rPr>
        <sz val="12"/>
        <color indexed="26"/>
        <rFont val="Tahoma"/>
        <family val="2"/>
      </rPr>
      <t>(10 Characters or less)</t>
    </r>
  </si>
  <si>
    <r>
      <t>Application Instance CI within the CMDB:</t>
    </r>
    <r>
      <rPr>
        <b/>
        <sz val="12"/>
        <color indexed="10"/>
        <rFont val="Tahoma"/>
        <family val="2"/>
      </rPr>
      <t xml:space="preserve"> 
</t>
    </r>
    <r>
      <rPr>
        <b/>
        <sz val="12"/>
        <color theme="0"/>
        <rFont val="Tahoma"/>
        <family val="2"/>
      </rPr>
      <t>(Must begin with HPIT: )</t>
    </r>
  </si>
  <si>
    <t>This tab includes instructions on the Naming Standards, Color Coding and SOX Compliance.</t>
  </si>
  <si>
    <t xml:space="preserve">Transaction Action </t>
  </si>
  <si>
    <t>Text or Image Check</t>
  </si>
  <si>
    <t>Transaction One Action
 (Step by Step process user would follow for this transaction)</t>
  </si>
  <si>
    <t>Transaction One Comments (Optional area for describing the action)</t>
  </si>
  <si>
    <t xml:space="preserve">Transaction Two Short Description </t>
  </si>
  <si>
    <t>Transaction Two Action
 (Step by Step process user would follow for this transaction)</t>
  </si>
  <si>
    <t>Transaction Two Comments (Optional area for describing the action)</t>
  </si>
  <si>
    <t xml:space="preserve">Transaction Three Short Description </t>
  </si>
  <si>
    <t>Transaction Three Action
 (Step by Step process user would follow for this transaction)</t>
  </si>
  <si>
    <t>Transaction Three Text or Image Check</t>
  </si>
  <si>
    <t>Transaction Three Comments (Optional area for describing the action)</t>
  </si>
  <si>
    <t>Transaction Two 
Text or Image Check</t>
  </si>
  <si>
    <t>Transaction One 
Text or Image Check</t>
  </si>
  <si>
    <t xml:space="preserve">Transaction Four Short Description </t>
  </si>
  <si>
    <t>Transaction Four Action
 (Step by Step process user would follow for this transaction)</t>
  </si>
  <si>
    <t>Transaction Four 
Text or Image Check</t>
  </si>
  <si>
    <t>Transaction Four Comments (Optional area for describing the action)</t>
  </si>
  <si>
    <t xml:space="preserve">Transaction Five Short Description </t>
  </si>
  <si>
    <t>Transaction Five Action
 (Step by Step process user would follow for this transaction)</t>
  </si>
  <si>
    <t>Transaction Five 
Text or Image Check</t>
  </si>
  <si>
    <t>Transaction Five Comments (Optional area for describing the action)</t>
  </si>
  <si>
    <t>version: 5.2</t>
  </si>
</sst>
</file>

<file path=xl/styles.xml><?xml version="1.0" encoding="utf-8"?>
<styleSheet xmlns="http://schemas.openxmlformats.org/spreadsheetml/2006/main">
  <numFmts count="1">
    <numFmt numFmtId="44" formatCode="_(&quot;$&quot;* #,##0.00_);_(&quot;$&quot;* \(#,##0.00\);_(&quot;$&quot;* &quot;-&quot;??_);_(@_)"/>
  </numFmts>
  <fonts count="69">
    <font>
      <sz val="10"/>
      <name val="Arial"/>
    </font>
    <font>
      <sz val="10"/>
      <name val="Arial"/>
      <family val="2"/>
    </font>
    <font>
      <sz val="10"/>
      <name val="Tahoma"/>
      <family val="2"/>
    </font>
    <font>
      <b/>
      <sz val="10"/>
      <name val="Tahoma"/>
      <family val="2"/>
    </font>
    <font>
      <u/>
      <sz val="10"/>
      <color indexed="12"/>
      <name val="Arial"/>
      <family val="2"/>
    </font>
    <font>
      <sz val="8"/>
      <name val="Arial"/>
      <family val="2"/>
    </font>
    <font>
      <b/>
      <sz val="10"/>
      <color indexed="9"/>
      <name val="Tahoma"/>
      <family val="2"/>
    </font>
    <font>
      <b/>
      <sz val="10"/>
      <name val="Arial"/>
      <family val="2"/>
    </font>
    <font>
      <sz val="10"/>
      <color indexed="8"/>
      <name val="Tahoma"/>
      <family val="2"/>
    </font>
    <font>
      <b/>
      <sz val="14"/>
      <color indexed="9"/>
      <name val="Tahoma"/>
      <family val="2"/>
    </font>
    <font>
      <sz val="12"/>
      <name val="Arial"/>
      <family val="2"/>
    </font>
    <font>
      <b/>
      <sz val="10"/>
      <color indexed="8"/>
      <name val="Tahoma"/>
      <family val="2"/>
    </font>
    <font>
      <sz val="10"/>
      <color indexed="9"/>
      <name val="Tahoma"/>
      <family val="2"/>
    </font>
    <font>
      <sz val="11"/>
      <name val="Tahoma"/>
      <family val="2"/>
    </font>
    <font>
      <b/>
      <sz val="11"/>
      <color indexed="8"/>
      <name val="Tahoma"/>
      <family val="2"/>
    </font>
    <font>
      <b/>
      <sz val="12"/>
      <name val="Tahoma"/>
      <family val="2"/>
    </font>
    <font>
      <sz val="12"/>
      <name val="Tahoma"/>
      <family val="2"/>
    </font>
    <font>
      <b/>
      <sz val="11"/>
      <color indexed="9"/>
      <name val="Tahoma"/>
      <family val="2"/>
    </font>
    <font>
      <b/>
      <sz val="14"/>
      <color indexed="22"/>
      <name val="Tahoma"/>
      <family val="2"/>
    </font>
    <font>
      <sz val="10"/>
      <color indexed="81"/>
      <name val="Tahoma"/>
      <family val="2"/>
    </font>
    <font>
      <sz val="14"/>
      <name val="Tahoma"/>
      <family val="2"/>
    </font>
    <font>
      <b/>
      <sz val="12"/>
      <color indexed="9"/>
      <name val="Tahoma"/>
      <family val="2"/>
    </font>
    <font>
      <sz val="10"/>
      <color indexed="12"/>
      <name val="Tahoma"/>
      <family val="2"/>
    </font>
    <font>
      <sz val="10"/>
      <name val="Arial"/>
      <family val="2"/>
    </font>
    <font>
      <sz val="8"/>
      <color indexed="81"/>
      <name val="Tahoma"/>
      <family val="2"/>
    </font>
    <font>
      <b/>
      <sz val="8"/>
      <color indexed="81"/>
      <name val="Tahoma"/>
      <family val="2"/>
    </font>
    <font>
      <sz val="10"/>
      <color indexed="9"/>
      <name val="Tahoma"/>
      <family val="2"/>
    </font>
    <font>
      <b/>
      <sz val="12"/>
      <color indexed="9"/>
      <name val="Tahoma"/>
      <family val="2"/>
    </font>
    <font>
      <b/>
      <sz val="10"/>
      <color indexed="9"/>
      <name val="Tahoma"/>
      <family val="2"/>
    </font>
    <font>
      <sz val="10"/>
      <color indexed="26"/>
      <name val="Tahoma"/>
      <family val="2"/>
    </font>
    <font>
      <sz val="10"/>
      <color rgb="FFFF0000"/>
      <name val="Tahoma"/>
      <family val="2"/>
    </font>
    <font>
      <sz val="10"/>
      <color theme="0"/>
      <name val="Tahoma"/>
      <family val="2"/>
    </font>
    <font>
      <sz val="11"/>
      <color rgb="FFFF0000"/>
      <name val="Tahoma"/>
      <family val="2"/>
    </font>
    <font>
      <sz val="10"/>
      <color rgb="FFFF0000"/>
      <name val="Arial"/>
      <family val="2"/>
    </font>
    <font>
      <b/>
      <sz val="12"/>
      <color theme="0"/>
      <name val="Tahoma"/>
      <family val="2"/>
    </font>
    <font>
      <sz val="14"/>
      <name val="Arial"/>
      <family val="2"/>
    </font>
    <font>
      <b/>
      <sz val="14"/>
      <name val="Tahoma"/>
      <family val="2"/>
    </font>
    <font>
      <b/>
      <sz val="14"/>
      <name val="Arial"/>
      <family val="2"/>
    </font>
    <font>
      <b/>
      <sz val="16"/>
      <color indexed="9"/>
      <name val="Tahoma"/>
      <family val="2"/>
    </font>
    <font>
      <b/>
      <sz val="18"/>
      <color indexed="9"/>
      <name val="Tahoma"/>
      <family val="2"/>
    </font>
    <font>
      <b/>
      <sz val="10"/>
      <color indexed="10"/>
      <name val="Tahoma"/>
      <family val="2"/>
    </font>
    <font>
      <b/>
      <sz val="12"/>
      <color indexed="10"/>
      <name val="Tahoma"/>
      <family val="2"/>
    </font>
    <font>
      <b/>
      <sz val="12"/>
      <name val="Arial"/>
      <family val="2"/>
    </font>
    <font>
      <b/>
      <sz val="16"/>
      <name val="Arial"/>
      <family val="2"/>
    </font>
    <font>
      <u/>
      <sz val="16"/>
      <color indexed="12"/>
      <name val="Arial"/>
      <family val="2"/>
    </font>
    <font>
      <sz val="16"/>
      <name val="Arial"/>
      <family val="2"/>
    </font>
    <font>
      <sz val="12"/>
      <color indexed="8"/>
      <name val="Tahoma"/>
      <family val="2"/>
    </font>
    <font>
      <b/>
      <sz val="12"/>
      <color indexed="8"/>
      <name val="Tahoma"/>
      <family val="2"/>
    </font>
    <font>
      <b/>
      <sz val="14"/>
      <color indexed="9"/>
      <name val="Arial"/>
      <family val="2"/>
    </font>
    <font>
      <b/>
      <sz val="14"/>
      <color indexed="8"/>
      <name val="Tahoma"/>
      <family val="2"/>
    </font>
    <font>
      <b/>
      <sz val="14"/>
      <color rgb="FF00B050"/>
      <name val="Tahoma"/>
      <family val="2"/>
    </font>
    <font>
      <sz val="14"/>
      <color rgb="FF00B050"/>
      <name val="Tahoma"/>
      <family val="2"/>
    </font>
    <font>
      <b/>
      <sz val="16"/>
      <color indexed="8"/>
      <name val="Tahoma"/>
      <family val="2"/>
    </font>
    <font>
      <sz val="16"/>
      <name val="Tahoma"/>
      <family val="2"/>
    </font>
    <font>
      <sz val="14"/>
      <color rgb="FFFF0000"/>
      <name val="Tahoma"/>
      <family val="2"/>
    </font>
    <font>
      <sz val="16"/>
      <color indexed="8"/>
      <name val="Tahoma"/>
      <family val="2"/>
    </font>
    <font>
      <b/>
      <i/>
      <sz val="12"/>
      <color indexed="8"/>
      <name val="Tahoma"/>
      <family val="2"/>
    </font>
    <font>
      <b/>
      <i/>
      <sz val="12"/>
      <name val="Tahoma"/>
      <family val="2"/>
    </font>
    <font>
      <i/>
      <sz val="16"/>
      <name val="Tahoma"/>
      <family val="2"/>
    </font>
    <font>
      <b/>
      <sz val="16"/>
      <color indexed="22"/>
      <name val="Tahoma"/>
      <family val="2"/>
    </font>
    <font>
      <i/>
      <sz val="16"/>
      <color indexed="8"/>
      <name val="Tahoma"/>
      <family val="2"/>
    </font>
    <font>
      <i/>
      <vertAlign val="superscript"/>
      <sz val="16"/>
      <color indexed="8"/>
      <name val="Tahoma"/>
      <family val="2"/>
    </font>
    <font>
      <b/>
      <sz val="11"/>
      <name val="Tahoma"/>
      <family val="2"/>
    </font>
    <font>
      <u/>
      <sz val="12"/>
      <color indexed="12"/>
      <name val="Arial"/>
      <family val="2"/>
    </font>
    <font>
      <sz val="12"/>
      <color indexed="26"/>
      <name val="Tahoma"/>
      <family val="2"/>
    </font>
    <font>
      <sz val="12"/>
      <color indexed="9"/>
      <name val="Tahoma"/>
      <family val="2"/>
    </font>
    <font>
      <sz val="12"/>
      <color theme="0"/>
      <name val="Tahoma"/>
      <family val="2"/>
    </font>
    <font>
      <b/>
      <sz val="16"/>
      <name val="Calibri"/>
      <family val="2"/>
    </font>
    <font>
      <sz val="16"/>
      <name val="Calibri"/>
      <family val="2"/>
    </font>
  </fonts>
  <fills count="1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indexed="30"/>
        <bgColor indexed="64"/>
      </patternFill>
    </fill>
    <fill>
      <patternFill patternType="solid">
        <fgColor indexed="26"/>
        <bgColor indexed="64"/>
      </patternFill>
    </fill>
    <fill>
      <patternFill patternType="solid">
        <fgColor rgb="FFA6A6A6"/>
        <bgColor indexed="64"/>
      </patternFill>
    </fill>
    <fill>
      <patternFill patternType="solid">
        <fgColor rgb="FFFFFF00"/>
        <bgColor indexed="64"/>
      </patternFill>
    </fill>
    <fill>
      <patternFill patternType="solid">
        <fgColor theme="0" tint="-0.499984740745262"/>
        <bgColor indexed="64"/>
      </patternFill>
    </fill>
    <fill>
      <patternFill patternType="solid">
        <fgColor rgb="FF66FF66"/>
        <bgColor indexed="64"/>
      </patternFill>
    </fill>
    <fill>
      <patternFill patternType="solid">
        <fgColor rgb="FFFF66FF"/>
        <bgColor indexed="64"/>
      </patternFill>
    </fill>
    <fill>
      <patternFill patternType="solid">
        <fgColor theme="6" tint="0.59999389629810485"/>
        <bgColor indexed="64"/>
      </patternFill>
    </fill>
    <fill>
      <patternFill patternType="solid">
        <fgColor theme="5" tint="0.59996337778862885"/>
        <bgColor indexed="64"/>
      </patternFill>
    </fill>
  </fills>
  <borders count="70">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9"/>
      </top>
      <bottom style="thin">
        <color indexed="9"/>
      </bottom>
      <diagonal/>
    </border>
    <border>
      <left/>
      <right style="medium">
        <color indexed="64"/>
      </right>
      <top style="thin">
        <color indexed="9"/>
      </top>
      <bottom style="thin">
        <color indexed="9"/>
      </bottom>
      <diagonal/>
    </border>
    <border>
      <left/>
      <right/>
      <top style="medium">
        <color indexed="64"/>
      </top>
      <bottom style="thin">
        <color indexed="9"/>
      </bottom>
      <diagonal/>
    </border>
    <border>
      <left/>
      <right/>
      <top style="thin">
        <color indexed="9"/>
      </top>
      <bottom style="medium">
        <color indexed="64"/>
      </bottom>
      <diagonal/>
    </border>
    <border>
      <left/>
      <right style="medium">
        <color indexed="64"/>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theme="0"/>
      </left>
      <right/>
      <top style="medium">
        <color theme="0"/>
      </top>
      <bottom/>
      <diagonal/>
    </border>
    <border>
      <left style="medium">
        <color theme="0"/>
      </left>
      <right style="medium">
        <color indexed="64"/>
      </right>
      <top style="medium">
        <color theme="0"/>
      </top>
      <bottom/>
      <diagonal/>
    </border>
    <border>
      <left/>
      <right/>
      <top style="medium">
        <color theme="0"/>
      </top>
      <bottom/>
      <diagonal/>
    </border>
    <border>
      <left style="medium">
        <color theme="0"/>
      </left>
      <right/>
      <top/>
      <bottom/>
      <diagonal/>
    </border>
    <border>
      <left style="medium">
        <color indexed="64"/>
      </left>
      <right/>
      <top style="medium">
        <color theme="0"/>
      </top>
      <bottom/>
      <diagonal/>
    </border>
    <border>
      <left style="medium">
        <color indexed="64"/>
      </left>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indexed="64"/>
      </right>
      <top style="medium">
        <color theme="0"/>
      </top>
      <bottom style="medium">
        <color indexed="64"/>
      </bottom>
      <diagonal/>
    </border>
    <border>
      <left/>
      <right style="thin">
        <color indexed="64"/>
      </right>
      <top/>
      <bottom/>
      <diagonal/>
    </border>
    <border>
      <left style="medium">
        <color theme="0"/>
      </left>
      <right style="medium">
        <color indexed="64"/>
      </right>
      <top style="medium">
        <color indexed="64"/>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s>
  <cellStyleXfs count="4">
    <xf numFmtId="0" fontId="0" fillId="0" borderId="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0" fillId="0" borderId="0"/>
  </cellStyleXfs>
  <cellXfs count="398">
    <xf numFmtId="0" fontId="0" fillId="0" borderId="0" xfId="0"/>
    <xf numFmtId="0" fontId="2" fillId="0" borderId="0" xfId="0" applyFont="1" applyAlignment="1">
      <alignment vertical="center" wrapText="1"/>
    </xf>
    <xf numFmtId="0" fontId="2" fillId="0" borderId="0" xfId="0" applyNumberFormat="1" applyFont="1" applyAlignment="1">
      <alignment wrapText="1"/>
    </xf>
    <xf numFmtId="0" fontId="2" fillId="0" borderId="0" xfId="0" applyFont="1" applyBorder="1" applyAlignment="1">
      <alignment wrapText="1"/>
    </xf>
    <xf numFmtId="0" fontId="11" fillId="0" borderId="0" xfId="0" applyFont="1" applyBorder="1" applyAlignment="1">
      <alignment wrapText="1"/>
    </xf>
    <xf numFmtId="0" fontId="8" fillId="0" borderId="0" xfId="0" applyFont="1" applyBorder="1" applyAlignment="1">
      <alignment wrapText="1"/>
    </xf>
    <xf numFmtId="0" fontId="8" fillId="0" borderId="0" xfId="0" applyFont="1" applyBorder="1" applyAlignment="1">
      <alignment horizontal="center" wrapText="1"/>
    </xf>
    <xf numFmtId="0" fontId="2" fillId="0" borderId="0" xfId="0" applyFont="1" applyAlignment="1">
      <alignment wrapText="1"/>
    </xf>
    <xf numFmtId="0" fontId="2" fillId="0" borderId="14" xfId="0" applyFont="1" applyBorder="1" applyAlignment="1">
      <alignment wrapText="1"/>
    </xf>
    <xf numFmtId="0" fontId="2" fillId="0" borderId="0" xfId="0" applyFont="1" applyAlignment="1">
      <alignment horizontal="center" wrapText="1"/>
    </xf>
    <xf numFmtId="0" fontId="12" fillId="0" borderId="0" xfId="0" applyFont="1" applyAlignment="1">
      <alignment wrapText="1"/>
    </xf>
    <xf numFmtId="0" fontId="13" fillId="0" borderId="0" xfId="0" applyFont="1" applyAlignment="1">
      <alignment wrapText="1"/>
    </xf>
    <xf numFmtId="0" fontId="13" fillId="3" borderId="0" xfId="0" applyFont="1" applyFill="1" applyAlignment="1">
      <alignment wrapText="1"/>
    </xf>
    <xf numFmtId="0" fontId="0" fillId="0" borderId="0" xfId="0" applyAlignment="1">
      <alignment wrapText="1"/>
    </xf>
    <xf numFmtId="2" fontId="0" fillId="0" borderId="0" xfId="0" applyNumberFormat="1" applyAlignment="1">
      <alignment wrapText="1"/>
    </xf>
    <xf numFmtId="0" fontId="2" fillId="4" borderId="21" xfId="0" applyFont="1" applyFill="1" applyBorder="1" applyAlignment="1">
      <alignment wrapText="1"/>
    </xf>
    <xf numFmtId="0" fontId="6" fillId="4" borderId="22" xfId="0" applyFont="1" applyFill="1" applyBorder="1" applyAlignment="1">
      <alignment wrapText="1"/>
    </xf>
    <xf numFmtId="44" fontId="2" fillId="4" borderId="21" xfId="1" applyFont="1" applyFill="1" applyBorder="1" applyAlignment="1">
      <alignment horizontal="left" wrapText="1"/>
    </xf>
    <xf numFmtId="0" fontId="6" fillId="5" borderId="23" xfId="0" applyFont="1" applyFill="1" applyBorder="1" applyAlignment="1">
      <alignment wrapText="1"/>
    </xf>
    <xf numFmtId="0" fontId="6" fillId="5" borderId="24" xfId="0" applyFont="1" applyFill="1" applyBorder="1" applyAlignment="1">
      <alignment wrapText="1"/>
    </xf>
    <xf numFmtId="0" fontId="6" fillId="5" borderId="25" xfId="0" applyFont="1" applyFill="1" applyBorder="1" applyAlignment="1">
      <alignment wrapText="1"/>
    </xf>
    <xf numFmtId="0" fontId="13" fillId="0" borderId="28" xfId="0" applyFont="1" applyBorder="1" applyAlignment="1">
      <alignment wrapText="1"/>
    </xf>
    <xf numFmtId="0" fontId="13" fillId="0" borderId="29" xfId="0" applyFont="1" applyBorder="1" applyAlignment="1">
      <alignment wrapText="1"/>
    </xf>
    <xf numFmtId="0" fontId="7" fillId="0" borderId="0" xfId="0" applyFont="1"/>
    <xf numFmtId="0" fontId="6" fillId="5" borderId="10" xfId="0" applyFont="1" applyFill="1" applyBorder="1" applyAlignment="1">
      <alignment wrapText="1"/>
    </xf>
    <xf numFmtId="0" fontId="0" fillId="3" borderId="31" xfId="0" applyFill="1" applyBorder="1" applyAlignment="1">
      <alignment horizontal="left" vertical="top" wrapText="1"/>
    </xf>
    <xf numFmtId="0" fontId="2" fillId="3" borderId="0" xfId="0" applyFont="1" applyFill="1" applyBorder="1" applyAlignment="1">
      <alignment horizontal="left" vertical="top" wrapText="1"/>
    </xf>
    <xf numFmtId="0" fontId="2" fillId="3" borderId="30" xfId="0" applyFont="1" applyFill="1" applyBorder="1" applyAlignment="1">
      <alignment horizontal="left" vertical="top" wrapText="1"/>
    </xf>
    <xf numFmtId="0" fontId="2" fillId="3" borderId="32" xfId="0" applyFont="1" applyFill="1" applyBorder="1" applyAlignment="1">
      <alignment horizontal="left" vertical="top" wrapText="1"/>
    </xf>
    <xf numFmtId="0" fontId="20" fillId="4" borderId="36" xfId="0" applyFont="1" applyFill="1" applyBorder="1" applyAlignment="1">
      <alignment vertical="center" wrapText="1"/>
    </xf>
    <xf numFmtId="0" fontId="21" fillId="5" borderId="22" xfId="3" applyNumberFormat="1" applyFont="1" applyFill="1" applyBorder="1" applyAlignment="1">
      <alignment vertical="top" wrapText="1"/>
    </xf>
    <xf numFmtId="0" fontId="27" fillId="4" borderId="38" xfId="0" applyFont="1" applyFill="1" applyBorder="1" applyAlignment="1">
      <alignment horizontal="left" vertical="top" wrapText="1"/>
    </xf>
    <xf numFmtId="49" fontId="2" fillId="0" borderId="0" xfId="0" applyNumberFormat="1" applyFont="1" applyAlignment="1">
      <alignment wrapText="1"/>
    </xf>
    <xf numFmtId="0" fontId="21" fillId="4" borderId="22" xfId="3" applyNumberFormat="1" applyFont="1" applyFill="1" applyBorder="1" applyAlignment="1">
      <alignment vertical="top" wrapText="1"/>
    </xf>
    <xf numFmtId="0" fontId="2" fillId="0" borderId="57" xfId="0" applyFont="1" applyBorder="1" applyAlignment="1">
      <alignment wrapText="1"/>
    </xf>
    <xf numFmtId="0" fontId="30" fillId="0" borderId="0" xfId="0" applyFont="1" applyAlignment="1">
      <alignment wrapText="1"/>
    </xf>
    <xf numFmtId="0" fontId="30" fillId="0" borderId="0" xfId="0" applyFont="1" applyBorder="1" applyAlignment="1">
      <alignment wrapText="1"/>
    </xf>
    <xf numFmtId="0" fontId="0" fillId="6" borderId="42" xfId="0" applyFill="1" applyBorder="1" applyAlignment="1">
      <alignment horizontal="center" vertical="center" wrapText="1"/>
    </xf>
    <xf numFmtId="0" fontId="6" fillId="5" borderId="17" xfId="0" applyFont="1" applyFill="1" applyBorder="1" applyAlignment="1">
      <alignment wrapText="1"/>
    </xf>
    <xf numFmtId="0" fontId="2" fillId="0" borderId="58" xfId="0" applyFont="1" applyBorder="1" applyAlignment="1">
      <alignment wrapText="1"/>
    </xf>
    <xf numFmtId="0" fontId="2" fillId="0" borderId="59" xfId="0" applyFont="1" applyBorder="1" applyAlignment="1">
      <alignment wrapText="1"/>
    </xf>
    <xf numFmtId="0" fontId="31" fillId="0" borderId="0" xfId="0" applyFont="1" applyAlignment="1">
      <alignment wrapText="1"/>
    </xf>
    <xf numFmtId="0" fontId="31" fillId="0" borderId="0" xfId="0" applyFont="1" applyBorder="1" applyAlignment="1">
      <alignment wrapText="1"/>
    </xf>
    <xf numFmtId="0" fontId="6" fillId="5" borderId="25" xfId="0" applyFont="1" applyFill="1" applyBorder="1" applyAlignment="1">
      <alignment vertical="top" wrapText="1"/>
    </xf>
    <xf numFmtId="0" fontId="12" fillId="3" borderId="36" xfId="0" applyFont="1" applyFill="1" applyBorder="1" applyAlignment="1">
      <alignment vertical="center" wrapText="1"/>
    </xf>
    <xf numFmtId="0" fontId="20" fillId="4" borderId="36" xfId="0" applyFont="1" applyFill="1" applyBorder="1" applyAlignment="1">
      <alignment horizontal="center" vertical="center" wrapText="1"/>
    </xf>
    <xf numFmtId="0" fontId="20" fillId="4" borderId="31" xfId="0" applyFont="1" applyFill="1" applyBorder="1" applyAlignment="1">
      <alignment horizontal="center" vertical="center" wrapText="1"/>
    </xf>
    <xf numFmtId="0" fontId="4" fillId="0" borderId="0" xfId="2" applyAlignment="1" applyProtection="1">
      <alignment wrapText="1"/>
    </xf>
    <xf numFmtId="0" fontId="2" fillId="0" borderId="60" xfId="0" applyFont="1" applyBorder="1" applyAlignment="1">
      <alignment wrapText="1"/>
    </xf>
    <xf numFmtId="0" fontId="2" fillId="0" borderId="61" xfId="0" applyFont="1" applyBorder="1" applyAlignment="1">
      <alignment wrapText="1"/>
    </xf>
    <xf numFmtId="0" fontId="2" fillId="0" borderId="62" xfId="0" applyFont="1" applyBorder="1" applyAlignment="1">
      <alignment wrapText="1"/>
    </xf>
    <xf numFmtId="0" fontId="2" fillId="0" borderId="63" xfId="0" applyFont="1" applyBorder="1" applyAlignment="1">
      <alignment wrapText="1"/>
    </xf>
    <xf numFmtId="0" fontId="2" fillId="0" borderId="64" xfId="0" applyFont="1" applyBorder="1" applyAlignment="1">
      <alignment wrapText="1"/>
    </xf>
    <xf numFmtId="0" fontId="21" fillId="4" borderId="17" xfId="3" applyNumberFormat="1" applyFont="1" applyFill="1" applyBorder="1" applyAlignment="1">
      <alignment horizontal="right" vertical="top" wrapText="1"/>
    </xf>
    <xf numFmtId="0" fontId="6" fillId="5" borderId="24" xfId="0" applyFont="1" applyFill="1" applyBorder="1" applyAlignment="1">
      <alignment vertical="center" wrapText="1"/>
    </xf>
    <xf numFmtId="0" fontId="32" fillId="8" borderId="14" xfId="0" applyFont="1" applyFill="1" applyBorder="1" applyAlignment="1">
      <alignment wrapText="1"/>
    </xf>
    <xf numFmtId="0" fontId="33" fillId="8" borderId="30" xfId="0" applyFont="1" applyFill="1" applyBorder="1" applyAlignment="1">
      <alignment wrapText="1"/>
    </xf>
    <xf numFmtId="0" fontId="0" fillId="0" borderId="30" xfId="0" applyBorder="1" applyAlignment="1">
      <alignment wrapText="1"/>
    </xf>
    <xf numFmtId="0" fontId="13" fillId="3" borderId="14" xfId="0" applyFont="1" applyFill="1" applyBorder="1" applyAlignment="1">
      <alignment wrapText="1"/>
    </xf>
    <xf numFmtId="0" fontId="7" fillId="0" borderId="0" xfId="0" applyFont="1" applyAlignment="1">
      <alignment wrapText="1"/>
    </xf>
    <xf numFmtId="0" fontId="8" fillId="10" borderId="13" xfId="0" applyFont="1" applyFill="1" applyBorder="1" applyAlignment="1">
      <alignment horizontal="left" vertical="top" wrapText="1"/>
    </xf>
    <xf numFmtId="49" fontId="8" fillId="10" borderId="13" xfId="0" applyNumberFormat="1" applyFont="1" applyFill="1" applyBorder="1" applyAlignment="1">
      <alignment horizontal="left" vertical="top" wrapText="1"/>
    </xf>
    <xf numFmtId="0" fontId="8" fillId="10" borderId="20" xfId="0" applyFont="1" applyFill="1" applyBorder="1" applyAlignment="1">
      <alignment horizontal="left" vertical="top" wrapText="1"/>
    </xf>
    <xf numFmtId="0" fontId="8" fillId="10" borderId="19" xfId="0" applyFont="1" applyFill="1" applyBorder="1" applyAlignment="1">
      <alignment horizontal="left" vertical="top" wrapText="1"/>
    </xf>
    <xf numFmtId="0" fontId="2" fillId="10" borderId="18" xfId="0" applyFont="1" applyFill="1" applyBorder="1" applyAlignment="1">
      <alignment horizontal="left" vertical="center" wrapText="1"/>
    </xf>
    <xf numFmtId="0" fontId="8" fillId="11" borderId="41" xfId="0" applyFont="1" applyFill="1" applyBorder="1" applyAlignment="1">
      <alignment horizontal="left" vertical="top" wrapText="1"/>
    </xf>
    <xf numFmtId="0" fontId="3" fillId="8" borderId="9" xfId="0" applyFont="1" applyFill="1" applyBorder="1" applyAlignment="1" applyProtection="1">
      <alignment horizontal="left" vertical="center" wrapText="1"/>
      <protection hidden="1"/>
    </xf>
    <xf numFmtId="0" fontId="36" fillId="11" borderId="16" xfId="0" applyFont="1" applyFill="1" applyBorder="1" applyAlignment="1">
      <alignment horizontal="center" vertical="center" wrapText="1"/>
    </xf>
    <xf numFmtId="0" fontId="36" fillId="8" borderId="16" xfId="0" applyFont="1" applyFill="1" applyBorder="1" applyAlignment="1">
      <alignment horizontal="center" vertical="center" wrapText="1"/>
    </xf>
    <xf numFmtId="0" fontId="38" fillId="5" borderId="40" xfId="0" applyFont="1" applyFill="1" applyBorder="1" applyAlignment="1">
      <alignment horizontal="center" vertical="center" wrapText="1"/>
    </xf>
    <xf numFmtId="0" fontId="6" fillId="5" borderId="35" xfId="0" applyFont="1" applyFill="1" applyBorder="1" applyAlignment="1">
      <alignment wrapText="1"/>
    </xf>
    <xf numFmtId="0" fontId="8" fillId="8" borderId="43" xfId="0" applyFont="1" applyFill="1" applyBorder="1" applyAlignment="1">
      <alignment horizontal="left" vertical="top" wrapText="1"/>
    </xf>
    <xf numFmtId="0" fontId="4" fillId="8" borderId="43" xfId="2" applyFill="1" applyBorder="1" applyAlignment="1" applyProtection="1">
      <alignment horizontal="left" vertical="top" wrapText="1"/>
    </xf>
    <xf numFmtId="0" fontId="28" fillId="0" borderId="14" xfId="0" applyFont="1" applyFill="1" applyBorder="1" applyAlignment="1">
      <alignment vertical="center" textRotation="180" wrapText="1"/>
    </xf>
    <xf numFmtId="0" fontId="21" fillId="4" borderId="4" xfId="0" applyFont="1" applyFill="1" applyBorder="1" applyAlignment="1">
      <alignment horizontal="left" vertical="top" wrapText="1"/>
    </xf>
    <xf numFmtId="0" fontId="26" fillId="0" borderId="34" xfId="0" applyFont="1" applyFill="1" applyBorder="1" applyAlignment="1">
      <alignment horizontal="left" wrapText="1"/>
    </xf>
    <xf numFmtId="0" fontId="0" fillId="0" borderId="0" xfId="0" applyBorder="1" applyAlignment="1">
      <alignment horizontal="left" vertical="top" wrapText="1"/>
    </xf>
    <xf numFmtId="0" fontId="28" fillId="0" borderId="0" xfId="0" applyFont="1" applyFill="1" applyBorder="1" applyAlignment="1">
      <alignment vertical="center" textRotation="180" wrapText="1"/>
    </xf>
    <xf numFmtId="0" fontId="2" fillId="0" borderId="0" xfId="0" applyFont="1" applyFill="1" applyBorder="1" applyAlignment="1">
      <alignment horizontal="left" vertical="top" wrapText="1"/>
    </xf>
    <xf numFmtId="0" fontId="11" fillId="12" borderId="4" xfId="0" applyFont="1" applyFill="1" applyBorder="1" applyAlignment="1">
      <alignment horizontal="left" vertical="center" wrapText="1"/>
    </xf>
    <xf numFmtId="0" fontId="3" fillId="12" borderId="6" xfId="0" applyFont="1" applyFill="1" applyBorder="1" applyAlignment="1">
      <alignment vertical="center" wrapText="1"/>
    </xf>
    <xf numFmtId="0" fontId="15" fillId="0" borderId="0" xfId="0" applyFont="1" applyAlignment="1">
      <alignment vertical="center" wrapText="1"/>
    </xf>
    <xf numFmtId="0" fontId="42" fillId="0" borderId="0" xfId="0" applyFont="1" applyAlignment="1">
      <alignment vertical="center" wrapText="1"/>
    </xf>
    <xf numFmtId="0" fontId="11" fillId="12" borderId="4" xfId="0" applyFont="1" applyFill="1" applyBorder="1" applyAlignment="1">
      <alignment horizontal="center" vertical="center" wrapText="1"/>
    </xf>
    <xf numFmtId="0" fontId="3" fillId="12" borderId="6" xfId="0" applyFont="1" applyFill="1" applyBorder="1" applyAlignment="1">
      <alignment horizontal="center" vertical="center" wrapText="1"/>
    </xf>
    <xf numFmtId="0" fontId="20" fillId="8" borderId="22" xfId="3" applyNumberFormat="1" applyFont="1" applyFill="1" applyBorder="1" applyAlignment="1">
      <alignment horizontal="left" vertical="top" wrapText="1"/>
    </xf>
    <xf numFmtId="0" fontId="42" fillId="8" borderId="17" xfId="0" applyFont="1" applyFill="1" applyBorder="1" applyAlignment="1">
      <alignment vertical="top" wrapText="1"/>
    </xf>
    <xf numFmtId="0" fontId="11" fillId="8" borderId="3" xfId="0" applyFont="1" applyFill="1" applyBorder="1" applyAlignment="1">
      <alignment horizontal="left" vertical="top" wrapText="1"/>
    </xf>
    <xf numFmtId="0" fontId="11" fillId="10" borderId="1" xfId="0" applyFont="1" applyFill="1" applyBorder="1" applyAlignment="1">
      <alignment horizontal="left" vertical="top" wrapText="1"/>
    </xf>
    <xf numFmtId="0" fontId="3" fillId="11"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4" fillId="10" borderId="33" xfId="2" applyFill="1" applyBorder="1" applyAlignment="1" applyProtection="1">
      <alignment horizontal="left" vertical="top" wrapText="1"/>
    </xf>
    <xf numFmtId="0" fontId="20" fillId="10" borderId="6" xfId="0" applyFont="1" applyFill="1" applyBorder="1" applyAlignment="1">
      <alignment wrapText="1"/>
    </xf>
    <xf numFmtId="0" fontId="20" fillId="11" borderId="3" xfId="0" applyFont="1" applyFill="1" applyBorder="1" applyAlignment="1">
      <alignment wrapText="1"/>
    </xf>
    <xf numFmtId="0" fontId="20" fillId="8" borderId="9" xfId="0" applyFont="1" applyFill="1" applyBorder="1" applyAlignment="1">
      <alignment wrapText="1"/>
    </xf>
    <xf numFmtId="0" fontId="42" fillId="8" borderId="21" xfId="0" applyFont="1" applyFill="1" applyBorder="1" applyAlignment="1">
      <alignment vertical="top" wrapText="1"/>
    </xf>
    <xf numFmtId="0" fontId="3" fillId="0" borderId="0" xfId="0" applyFont="1" applyAlignment="1">
      <alignment wrapText="1"/>
    </xf>
    <xf numFmtId="0" fontId="3" fillId="0" borderId="0" xfId="0" applyNumberFormat="1" applyFont="1" applyAlignment="1">
      <alignment wrapText="1"/>
    </xf>
    <xf numFmtId="0" fontId="4" fillId="0" borderId="0" xfId="2" applyAlignment="1" applyProtection="1">
      <alignment wrapText="1"/>
    </xf>
    <xf numFmtId="0" fontId="20" fillId="0" borderId="14" xfId="0" applyFont="1" applyBorder="1" applyAlignment="1">
      <alignment horizontal="left" wrapText="1" indent="8"/>
    </xf>
    <xf numFmtId="0" fontId="20" fillId="0" borderId="30" xfId="0" applyFont="1" applyBorder="1" applyAlignment="1">
      <alignment horizontal="left" wrapText="1" indent="8"/>
    </xf>
    <xf numFmtId="0" fontId="20" fillId="0" borderId="14" xfId="0" applyFont="1" applyBorder="1" applyAlignment="1">
      <alignment wrapText="1"/>
    </xf>
    <xf numFmtId="0" fontId="20" fillId="0" borderId="30" xfId="0" applyFont="1" applyBorder="1" applyAlignment="1">
      <alignment wrapText="1"/>
    </xf>
    <xf numFmtId="0" fontId="47" fillId="2" borderId="1" xfId="0" applyFont="1" applyFill="1" applyBorder="1" applyAlignment="1">
      <alignment wrapText="1"/>
    </xf>
    <xf numFmtId="0" fontId="47" fillId="2" borderId="2" xfId="0" applyFont="1" applyFill="1" applyBorder="1" applyAlignment="1">
      <alignment wrapText="1"/>
    </xf>
    <xf numFmtId="0" fontId="47" fillId="0" borderId="1" xfId="0" applyFont="1" applyBorder="1" applyAlignment="1">
      <alignment horizontal="left" vertical="top" wrapText="1"/>
    </xf>
    <xf numFmtId="0" fontId="56" fillId="0" borderId="1" xfId="0" applyFont="1" applyBorder="1" applyAlignment="1">
      <alignment horizontal="left" vertical="top" wrapText="1" indent="2"/>
    </xf>
    <xf numFmtId="0" fontId="47" fillId="0" borderId="7" xfId="0" applyFont="1" applyBorder="1" applyAlignment="1">
      <alignment horizontal="left" vertical="top" wrapText="1"/>
    </xf>
    <xf numFmtId="0" fontId="15" fillId="0" borderId="0" xfId="0" applyFont="1" applyBorder="1" applyAlignment="1">
      <alignment horizontal="left" vertical="top" wrapText="1"/>
    </xf>
    <xf numFmtId="0" fontId="47" fillId="0" borderId="2" xfId="0" applyFont="1" applyBorder="1" applyAlignment="1">
      <alignment horizontal="left" vertical="top" wrapText="1"/>
    </xf>
    <xf numFmtId="0" fontId="47" fillId="0" borderId="8" xfId="0" applyFont="1" applyBorder="1" applyAlignment="1">
      <alignment horizontal="left" vertical="top" wrapText="1"/>
    </xf>
    <xf numFmtId="0" fontId="52" fillId="2" borderId="1" xfId="0" applyFont="1" applyFill="1" applyBorder="1" applyAlignment="1">
      <alignment wrapText="1"/>
    </xf>
    <xf numFmtId="0" fontId="52" fillId="2" borderId="7" xfId="0" applyFont="1" applyFill="1" applyBorder="1" applyAlignment="1">
      <alignment wrapText="1"/>
    </xf>
    <xf numFmtId="0" fontId="52" fillId="2" borderId="2" xfId="0" applyFont="1" applyFill="1" applyBorder="1" applyAlignment="1">
      <alignment wrapText="1"/>
    </xf>
    <xf numFmtId="0" fontId="52" fillId="2" borderId="3" xfId="0" applyFont="1" applyFill="1" applyBorder="1" applyAlignment="1">
      <alignment wrapText="1"/>
    </xf>
    <xf numFmtId="0" fontId="60" fillId="2" borderId="1" xfId="0" applyFont="1" applyFill="1" applyBorder="1" applyAlignment="1">
      <alignment wrapText="1"/>
    </xf>
    <xf numFmtId="0" fontId="60" fillId="2" borderId="2" xfId="0" applyFont="1" applyFill="1" applyBorder="1" applyAlignment="1">
      <alignment wrapText="1"/>
    </xf>
    <xf numFmtId="0" fontId="60" fillId="2" borderId="3" xfId="0" applyFont="1" applyFill="1" applyBorder="1" applyAlignment="1">
      <alignment wrapText="1"/>
    </xf>
    <xf numFmtId="20" fontId="60" fillId="2" borderId="2" xfId="0" applyNumberFormat="1" applyFont="1" applyFill="1" applyBorder="1" applyAlignment="1">
      <alignment horizontal="left" wrapText="1"/>
    </xf>
    <xf numFmtId="0" fontId="55" fillId="11" borderId="1" xfId="0" applyFont="1" applyFill="1" applyBorder="1" applyAlignment="1">
      <alignment horizontal="left" vertical="top" wrapText="1"/>
    </xf>
    <xf numFmtId="0" fontId="55" fillId="11" borderId="2" xfId="0" applyFont="1" applyFill="1" applyBorder="1" applyAlignment="1">
      <alignment horizontal="left" vertical="top" wrapText="1"/>
    </xf>
    <xf numFmtId="0" fontId="55" fillId="11" borderId="3" xfId="0" applyFont="1" applyFill="1" applyBorder="1" applyAlignment="1">
      <alignment horizontal="left" vertical="top" wrapText="1"/>
    </xf>
    <xf numFmtId="0" fontId="55" fillId="11" borderId="10" xfId="0" applyFont="1" applyFill="1" applyBorder="1" applyAlignment="1">
      <alignment horizontal="left" vertical="top" wrapText="1"/>
    </xf>
    <xf numFmtId="0" fontId="55" fillId="11" borderId="11" xfId="0" applyFont="1" applyFill="1" applyBorder="1" applyAlignment="1">
      <alignment horizontal="left" vertical="top" wrapText="1"/>
    </xf>
    <xf numFmtId="0" fontId="55" fillId="11" borderId="12" xfId="0" applyFont="1" applyFill="1" applyBorder="1" applyAlignment="1">
      <alignment horizontal="left" vertical="top" wrapText="1"/>
    </xf>
    <xf numFmtId="0" fontId="43" fillId="2" borderId="4" xfId="0" applyFont="1" applyFill="1" applyBorder="1" applyAlignment="1">
      <alignment horizontal="left" wrapText="1"/>
    </xf>
    <xf numFmtId="0" fontId="43" fillId="2" borderId="5" xfId="0" applyFont="1" applyFill="1" applyBorder="1" applyAlignment="1">
      <alignment horizontal="left" wrapText="1"/>
    </xf>
    <xf numFmtId="0" fontId="43" fillId="2" borderId="6" xfId="0" applyFont="1" applyFill="1" applyBorder="1" applyAlignment="1">
      <alignment horizontal="left" wrapText="1"/>
    </xf>
    <xf numFmtId="2" fontId="45" fillId="2" borderId="1" xfId="0" applyNumberFormat="1" applyFont="1" applyFill="1" applyBorder="1" applyAlignment="1">
      <alignment horizontal="left" vertical="top" wrapText="1"/>
    </xf>
    <xf numFmtId="0" fontId="45" fillId="2" borderId="2" xfId="0" applyFont="1" applyFill="1" applyBorder="1" applyAlignment="1">
      <alignment horizontal="left" vertical="top" wrapText="1"/>
    </xf>
    <xf numFmtId="14" fontId="45" fillId="2" borderId="2" xfId="0" applyNumberFormat="1" applyFont="1" applyFill="1" applyBorder="1" applyAlignment="1">
      <alignment horizontal="left" vertical="top" wrapText="1"/>
    </xf>
    <xf numFmtId="0" fontId="45" fillId="2" borderId="3" xfId="0" applyFont="1" applyFill="1" applyBorder="1" applyAlignment="1">
      <alignment horizontal="left" vertical="top" wrapText="1"/>
    </xf>
    <xf numFmtId="2" fontId="45" fillId="0" borderId="1" xfId="0" applyNumberFormat="1" applyFont="1" applyBorder="1" applyAlignment="1">
      <alignment horizontal="left" vertical="top" wrapText="1"/>
    </xf>
    <xf numFmtId="0" fontId="45" fillId="0" borderId="2" xfId="0" applyFont="1" applyBorder="1" applyAlignment="1">
      <alignment horizontal="left" vertical="top" wrapText="1"/>
    </xf>
    <xf numFmtId="0" fontId="45" fillId="0" borderId="3" xfId="0" applyFont="1" applyBorder="1" applyAlignment="1">
      <alignment horizontal="left" vertical="top" wrapText="1"/>
    </xf>
    <xf numFmtId="2" fontId="45" fillId="0" borderId="7" xfId="0" applyNumberFormat="1" applyFont="1" applyBorder="1" applyAlignment="1">
      <alignment horizontal="left" vertical="top" wrapText="1"/>
    </xf>
    <xf numFmtId="0" fontId="45" fillId="0" borderId="8" xfId="0" applyFont="1" applyBorder="1" applyAlignment="1">
      <alignment horizontal="left" vertical="top" wrapText="1"/>
    </xf>
    <xf numFmtId="0" fontId="45" fillId="0" borderId="9" xfId="0" applyFont="1" applyBorder="1" applyAlignment="1">
      <alignment horizontal="left" vertical="top" wrapText="1"/>
    </xf>
    <xf numFmtId="15" fontId="45" fillId="0" borderId="2" xfId="0" applyNumberFormat="1" applyFont="1" applyBorder="1" applyAlignment="1">
      <alignment horizontal="left" vertical="top" wrapText="1"/>
    </xf>
    <xf numFmtId="0" fontId="4" fillId="0" borderId="0" xfId="2" applyAlignment="1" applyProtection="1">
      <alignment wrapText="1"/>
    </xf>
    <xf numFmtId="0" fontId="62" fillId="0" borderId="0" xfId="0" applyFont="1" applyAlignment="1">
      <alignment wrapText="1"/>
    </xf>
    <xf numFmtId="0" fontId="1" fillId="0" borderId="0" xfId="0" applyFont="1" applyAlignment="1">
      <alignment vertical="center"/>
    </xf>
    <xf numFmtId="0" fontId="0" fillId="0" borderId="0" xfId="0" applyAlignment="1">
      <alignment vertical="center"/>
    </xf>
    <xf numFmtId="0" fontId="1" fillId="0" borderId="0" xfId="0" applyFont="1" applyAlignment="1">
      <alignment vertical="center" wrapText="1"/>
    </xf>
    <xf numFmtId="0" fontId="36" fillId="13" borderId="16" xfId="0" applyFont="1" applyFill="1" applyBorder="1" applyAlignment="1">
      <alignment horizontal="center" vertical="center" wrapText="1"/>
    </xf>
    <xf numFmtId="0" fontId="46" fillId="10" borderId="13" xfId="0" applyFont="1" applyFill="1" applyBorder="1" applyAlignment="1">
      <alignment horizontal="left" vertical="top" wrapText="1"/>
    </xf>
    <xf numFmtId="49" fontId="46" fillId="10" borderId="13" xfId="0" applyNumberFormat="1" applyFont="1" applyFill="1" applyBorder="1" applyAlignment="1">
      <alignment horizontal="left" vertical="top" wrapText="1"/>
    </xf>
    <xf numFmtId="0" fontId="63" fillId="10" borderId="33" xfId="2" applyFont="1" applyFill="1" applyBorder="1" applyAlignment="1" applyProtection="1">
      <alignment horizontal="left" vertical="top" wrapText="1"/>
    </xf>
    <xf numFmtId="0" fontId="16" fillId="0" borderId="61" xfId="0" applyFont="1" applyBorder="1" applyAlignment="1">
      <alignment wrapText="1"/>
    </xf>
    <xf numFmtId="0" fontId="16" fillId="0" borderId="57" xfId="0" applyFont="1" applyBorder="1" applyAlignment="1">
      <alignment wrapText="1"/>
    </xf>
    <xf numFmtId="0" fontId="16" fillId="3" borderId="0" xfId="0" applyFont="1" applyFill="1" applyBorder="1" applyAlignment="1">
      <alignment horizontal="left" vertical="top" wrapText="1"/>
    </xf>
    <xf numFmtId="0" fontId="16" fillId="0" borderId="58" xfId="0" applyFont="1" applyBorder="1" applyAlignment="1">
      <alignment wrapText="1"/>
    </xf>
    <xf numFmtId="0" fontId="16" fillId="0" borderId="59" xfId="0" applyFont="1" applyBorder="1" applyAlignment="1">
      <alignment wrapText="1"/>
    </xf>
    <xf numFmtId="0" fontId="21" fillId="4" borderId="22" xfId="0" applyFont="1" applyFill="1" applyBorder="1" applyAlignment="1">
      <alignment wrapText="1"/>
    </xf>
    <xf numFmtId="0" fontId="16" fillId="4" borderId="21" xfId="0" applyFont="1" applyFill="1" applyBorder="1" applyAlignment="1">
      <alignment wrapText="1"/>
    </xf>
    <xf numFmtId="0" fontId="21" fillId="5" borderId="23" xfId="0" applyFont="1" applyFill="1" applyBorder="1" applyAlignment="1">
      <alignment wrapText="1"/>
    </xf>
    <xf numFmtId="0" fontId="46" fillId="10" borderId="20" xfId="0" applyFont="1" applyFill="1" applyBorder="1" applyAlignment="1">
      <alignment horizontal="left" vertical="top" wrapText="1"/>
    </xf>
    <xf numFmtId="0" fontId="21" fillId="5" borderId="24" xfId="0" applyFont="1" applyFill="1" applyBorder="1" applyAlignment="1">
      <alignment wrapText="1"/>
    </xf>
    <xf numFmtId="0" fontId="46" fillId="10" borderId="19" xfId="0" applyFont="1" applyFill="1" applyBorder="1" applyAlignment="1">
      <alignment horizontal="left" vertical="top" wrapText="1"/>
    </xf>
    <xf numFmtId="0" fontId="21" fillId="5" borderId="24" xfId="0" applyFont="1" applyFill="1" applyBorder="1" applyAlignment="1">
      <alignment vertical="center" wrapText="1"/>
    </xf>
    <xf numFmtId="0" fontId="21" fillId="5" borderId="25" xfId="0" applyFont="1" applyFill="1" applyBorder="1" applyAlignment="1">
      <alignment wrapText="1"/>
    </xf>
    <xf numFmtId="0" fontId="16" fillId="0" borderId="14" xfId="0" applyFont="1" applyBorder="1" applyAlignment="1">
      <alignment wrapText="1"/>
    </xf>
    <xf numFmtId="0" fontId="16" fillId="0" borderId="0" xfId="0" applyFont="1" applyBorder="1" applyAlignment="1">
      <alignment wrapText="1"/>
    </xf>
    <xf numFmtId="44" fontId="16" fillId="4" borderId="21" xfId="1" applyFont="1" applyFill="1" applyBorder="1" applyAlignment="1">
      <alignment horizontal="left" wrapText="1"/>
    </xf>
    <xf numFmtId="0" fontId="21" fillId="5" borderId="25" xfId="0" applyFont="1" applyFill="1" applyBorder="1" applyAlignment="1">
      <alignment vertical="top" wrapText="1"/>
    </xf>
    <xf numFmtId="0" fontId="46" fillId="13" borderId="41" xfId="0" applyFont="1" applyFill="1" applyBorder="1" applyAlignment="1">
      <alignment horizontal="left" vertical="top" wrapText="1"/>
    </xf>
    <xf numFmtId="0" fontId="21" fillId="5" borderId="35" xfId="0" applyFont="1" applyFill="1" applyBorder="1" applyAlignment="1">
      <alignment wrapText="1"/>
    </xf>
    <xf numFmtId="0" fontId="16" fillId="10" borderId="18" xfId="0" applyFont="1" applyFill="1" applyBorder="1" applyAlignment="1">
      <alignment horizontal="left" vertical="center" wrapText="1"/>
    </xf>
    <xf numFmtId="0" fontId="65" fillId="3" borderId="36" xfId="0" applyFont="1" applyFill="1" applyBorder="1" applyAlignment="1">
      <alignment vertical="center" wrapText="1"/>
    </xf>
    <xf numFmtId="0" fontId="10" fillId="3" borderId="31" xfId="0" applyFont="1" applyFill="1" applyBorder="1" applyAlignment="1">
      <alignment horizontal="left" vertical="top" wrapText="1"/>
    </xf>
    <xf numFmtId="0" fontId="21" fillId="5" borderId="10" xfId="0" applyFont="1" applyFill="1" applyBorder="1" applyAlignment="1">
      <alignment wrapText="1"/>
    </xf>
    <xf numFmtId="0" fontId="15" fillId="8" borderId="9" xfId="0" applyFont="1" applyFill="1" applyBorder="1" applyAlignment="1" applyProtection="1">
      <alignment horizontal="left" vertical="center" wrapText="1"/>
      <protection hidden="1"/>
    </xf>
    <xf numFmtId="0" fontId="16" fillId="3" borderId="30" xfId="0" applyFont="1" applyFill="1" applyBorder="1" applyAlignment="1">
      <alignment horizontal="left" vertical="top" wrapText="1"/>
    </xf>
    <xf numFmtId="0" fontId="16" fillId="0" borderId="60" xfId="0" applyFont="1" applyBorder="1" applyAlignment="1">
      <alignment wrapText="1"/>
    </xf>
    <xf numFmtId="0" fontId="21" fillId="5" borderId="17" xfId="0" applyFont="1" applyFill="1" applyBorder="1" applyAlignment="1">
      <alignment wrapText="1"/>
    </xf>
    <xf numFmtId="0" fontId="46" fillId="8" borderId="43" xfId="0" applyFont="1" applyFill="1" applyBorder="1" applyAlignment="1">
      <alignment horizontal="left" vertical="top" wrapText="1"/>
    </xf>
    <xf numFmtId="0" fontId="63" fillId="8" borderId="43" xfId="2" applyFont="1" applyFill="1" applyBorder="1" applyAlignment="1" applyProtection="1">
      <alignment horizontal="left" vertical="top" wrapText="1"/>
    </xf>
    <xf numFmtId="0" fontId="16" fillId="0" borderId="62" xfId="0" applyFont="1" applyBorder="1" applyAlignment="1">
      <alignment wrapText="1"/>
    </xf>
    <xf numFmtId="0" fontId="16" fillId="0" borderId="63" xfId="0" applyFont="1" applyBorder="1" applyAlignment="1">
      <alignment wrapText="1"/>
    </xf>
    <xf numFmtId="0" fontId="16" fillId="3" borderId="32" xfId="0" applyFont="1" applyFill="1" applyBorder="1" applyAlignment="1">
      <alignment horizontal="left" vertical="top" wrapText="1"/>
    </xf>
    <xf numFmtId="0" fontId="16" fillId="0" borderId="64" xfId="0" applyFont="1" applyBorder="1" applyAlignment="1">
      <alignment wrapText="1"/>
    </xf>
    <xf numFmtId="0" fontId="16" fillId="4" borderId="36" xfId="0" applyFont="1" applyFill="1" applyBorder="1" applyAlignment="1">
      <alignment vertical="center" wrapText="1"/>
    </xf>
    <xf numFmtId="0" fontId="16" fillId="4" borderId="36" xfId="0" applyFont="1" applyFill="1" applyBorder="1" applyAlignment="1">
      <alignment horizontal="center" vertical="center" wrapText="1"/>
    </xf>
    <xf numFmtId="0" fontId="16" fillId="4" borderId="31" xfId="0" applyFont="1" applyFill="1" applyBorder="1" applyAlignment="1">
      <alignment horizontal="center" vertical="center" wrapText="1"/>
    </xf>
    <xf numFmtId="0" fontId="66" fillId="0" borderId="0" xfId="0" applyFont="1" applyAlignment="1">
      <alignment wrapText="1"/>
    </xf>
    <xf numFmtId="0" fontId="66" fillId="0" borderId="0" xfId="0" applyFont="1" applyBorder="1" applyAlignment="1">
      <alignment wrapText="1"/>
    </xf>
    <xf numFmtId="0" fontId="16" fillId="0" borderId="0" xfId="0" applyFont="1" applyAlignment="1">
      <alignment wrapText="1"/>
    </xf>
    <xf numFmtId="0" fontId="47" fillId="12" borderId="4" xfId="0" applyFont="1" applyFill="1" applyBorder="1" applyAlignment="1">
      <alignment horizontal="center" vertical="center" wrapText="1"/>
    </xf>
    <xf numFmtId="0" fontId="15" fillId="12" borderId="6" xfId="0" applyFont="1" applyFill="1" applyBorder="1" applyAlignment="1">
      <alignment horizontal="center" vertical="center" wrapText="1"/>
    </xf>
    <xf numFmtId="0" fontId="47" fillId="8" borderId="3" xfId="0" applyFont="1" applyFill="1" applyBorder="1" applyAlignment="1">
      <alignment horizontal="left" vertical="top" wrapText="1"/>
    </xf>
    <xf numFmtId="0" fontId="16" fillId="0" borderId="0" xfId="0" applyFont="1" applyFill="1" applyBorder="1" applyAlignment="1">
      <alignment horizontal="left" vertical="top" wrapText="1"/>
    </xf>
    <xf numFmtId="0" fontId="10" fillId="0" borderId="0" xfId="0" applyFont="1" applyBorder="1" applyAlignment="1">
      <alignment horizontal="left" vertical="top" wrapText="1"/>
    </xf>
    <xf numFmtId="0" fontId="16" fillId="8" borderId="22" xfId="3" applyNumberFormat="1" applyFont="1" applyFill="1" applyBorder="1" applyAlignment="1">
      <alignment horizontal="left" vertical="top" wrapText="1"/>
    </xf>
    <xf numFmtId="0" fontId="45" fillId="0" borderId="0" xfId="0" applyFont="1"/>
    <xf numFmtId="0" fontId="67" fillId="7" borderId="53" xfId="0" applyFont="1" applyFill="1" applyBorder="1" applyAlignment="1">
      <alignment horizontal="center" vertical="top" wrapText="1"/>
    </xf>
    <xf numFmtId="0" fontId="67" fillId="7" borderId="54" xfId="0" applyFont="1" applyFill="1" applyBorder="1" applyAlignment="1">
      <alignment horizontal="center" vertical="top" wrapText="1"/>
    </xf>
    <xf numFmtId="0" fontId="68" fillId="0" borderId="55" xfId="0" applyFont="1" applyBorder="1" applyAlignment="1">
      <alignment horizontal="center" vertical="top" wrapText="1"/>
    </xf>
    <xf numFmtId="0" fontId="44" fillId="0" borderId="56" xfId="2" applyFont="1" applyBorder="1" applyAlignment="1" applyProtection="1">
      <alignment vertical="top" wrapText="1"/>
    </xf>
    <xf numFmtId="0" fontId="68" fillId="0" borderId="56" xfId="0" applyFont="1" applyBorder="1" applyAlignment="1">
      <alignment vertical="top" wrapText="1"/>
    </xf>
    <xf numFmtId="0" fontId="65" fillId="0" borderId="65" xfId="0" applyFont="1" applyFill="1" applyBorder="1" applyAlignment="1">
      <alignment horizontal="left" wrapText="1"/>
    </xf>
    <xf numFmtId="0" fontId="2" fillId="0" borderId="66" xfId="0" applyFont="1" applyBorder="1" applyAlignment="1">
      <alignment wrapText="1"/>
    </xf>
    <xf numFmtId="0" fontId="2" fillId="0" borderId="30" xfId="0" applyFont="1" applyBorder="1" applyAlignment="1">
      <alignment wrapText="1"/>
    </xf>
    <xf numFmtId="0" fontId="21" fillId="4" borderId="40" xfId="0" applyFont="1" applyFill="1" applyBorder="1" applyAlignment="1">
      <alignment horizontal="center" vertical="center" wrapText="1"/>
    </xf>
    <xf numFmtId="0" fontId="46" fillId="10" borderId="1" xfId="0" applyFont="1" applyFill="1" applyBorder="1" applyAlignment="1">
      <alignment horizontal="left" vertical="top" wrapText="1"/>
    </xf>
    <xf numFmtId="0" fontId="46" fillId="13" borderId="69" xfId="0" applyFont="1" applyFill="1" applyBorder="1" applyAlignment="1">
      <alignment vertical="top" wrapText="1"/>
    </xf>
    <xf numFmtId="0" fontId="4" fillId="0" borderId="0" xfId="2" applyAlignment="1" applyProtection="1">
      <alignment wrapText="1"/>
    </xf>
    <xf numFmtId="0" fontId="4" fillId="0" borderId="0" xfId="2" applyAlignment="1" applyProtection="1">
      <alignment wrapText="1"/>
    </xf>
    <xf numFmtId="0" fontId="14" fillId="3" borderId="26" xfId="0" applyFont="1" applyFill="1" applyBorder="1" applyAlignment="1">
      <alignment horizontal="center" wrapText="1"/>
    </xf>
    <xf numFmtId="0" fontId="0" fillId="0" borderId="27" xfId="0" applyBorder="1" applyAlignment="1">
      <alignment horizontal="center" wrapText="1"/>
    </xf>
    <xf numFmtId="0" fontId="20" fillId="0" borderId="14" xfId="0" applyFont="1" applyBorder="1" applyAlignment="1">
      <alignment horizontal="left" wrapText="1" indent="8"/>
    </xf>
    <xf numFmtId="0" fontId="35" fillId="0" borderId="30" xfId="0" applyFont="1" applyBorder="1" applyAlignment="1">
      <alignment horizontal="left" wrapText="1" indent="8"/>
    </xf>
    <xf numFmtId="0" fontId="20" fillId="0" borderId="14" xfId="0" applyFont="1" applyBorder="1" applyAlignment="1">
      <alignment horizontal="left" indent="8"/>
    </xf>
    <xf numFmtId="0" fontId="35" fillId="0" borderId="30" xfId="0" applyFont="1" applyBorder="1" applyAlignment="1">
      <alignment horizontal="left" indent="8"/>
    </xf>
    <xf numFmtId="0" fontId="20" fillId="0" borderId="30" xfId="0" applyFont="1" applyBorder="1" applyAlignment="1">
      <alignment horizontal="left" wrapText="1" indent="8"/>
    </xf>
    <xf numFmtId="0" fontId="20" fillId="0" borderId="37" xfId="0" applyFont="1" applyBorder="1" applyAlignment="1">
      <alignment horizontal="left" wrapText="1" indent="8"/>
    </xf>
    <xf numFmtId="0" fontId="20" fillId="0" borderId="43" xfId="0" applyFont="1" applyBorder="1" applyAlignment="1">
      <alignment horizontal="left" wrapText="1" indent="8"/>
    </xf>
    <xf numFmtId="0" fontId="36" fillId="0" borderId="14" xfId="0" applyFont="1" applyBorder="1" applyAlignment="1">
      <alignment wrapText="1"/>
    </xf>
    <xf numFmtId="0" fontId="36" fillId="0" borderId="30" xfId="0" applyFont="1" applyBorder="1" applyAlignment="1">
      <alignment wrapText="1"/>
    </xf>
    <xf numFmtId="0" fontId="36" fillId="0" borderId="14" xfId="0" applyFont="1" applyBorder="1" applyAlignment="1"/>
    <xf numFmtId="0" fontId="37" fillId="0" borderId="30" xfId="0" applyFont="1" applyBorder="1" applyAlignment="1"/>
    <xf numFmtId="0" fontId="20" fillId="0" borderId="14" xfId="0" applyFont="1" applyBorder="1" applyAlignment="1">
      <alignment horizontal="left" wrapText="1" indent="7"/>
    </xf>
    <xf numFmtId="0" fontId="20" fillId="0" borderId="30" xfId="0" applyFont="1" applyBorder="1" applyAlignment="1">
      <alignment horizontal="left" wrapText="1" indent="7"/>
    </xf>
    <xf numFmtId="0" fontId="20" fillId="0" borderId="14" xfId="0" applyFont="1" applyBorder="1" applyAlignment="1">
      <alignment wrapText="1"/>
    </xf>
    <xf numFmtId="0" fontId="20" fillId="0" borderId="30" xfId="0" applyFont="1" applyBorder="1" applyAlignment="1">
      <alignment wrapText="1"/>
    </xf>
    <xf numFmtId="0" fontId="54" fillId="0" borderId="14" xfId="0" applyFont="1" applyBorder="1" applyAlignment="1">
      <alignment horizontal="left" wrapText="1" indent="8"/>
    </xf>
    <xf numFmtId="0" fontId="54" fillId="0" borderId="30" xfId="0" applyFont="1" applyBorder="1" applyAlignment="1">
      <alignment horizontal="left" wrapText="1" indent="8"/>
    </xf>
    <xf numFmtId="0" fontId="49" fillId="3" borderId="14" xfId="0" applyFont="1" applyFill="1" applyBorder="1" applyAlignment="1">
      <alignment wrapText="1"/>
    </xf>
    <xf numFmtId="0" fontId="35" fillId="0" borderId="30" xfId="0" applyFont="1" applyBorder="1" applyAlignment="1">
      <alignment wrapText="1"/>
    </xf>
    <xf numFmtId="0" fontId="20" fillId="3" borderId="14" xfId="0" applyFont="1" applyFill="1" applyBorder="1" applyAlignment="1">
      <alignment wrapText="1"/>
    </xf>
    <xf numFmtId="0" fontId="13" fillId="0" borderId="42" xfId="0" applyFont="1" applyBorder="1" applyAlignment="1">
      <alignment wrapText="1"/>
    </xf>
    <xf numFmtId="0" fontId="20" fillId="3" borderId="14" xfId="0" applyFont="1" applyFill="1" applyBorder="1" applyAlignment="1">
      <alignment horizontal="left" wrapText="1"/>
    </xf>
    <xf numFmtId="0" fontId="38" fillId="5" borderId="35" xfId="0" applyFont="1" applyFill="1" applyBorder="1" applyAlignment="1">
      <alignment horizontal="center" vertical="center" wrapText="1"/>
    </xf>
    <xf numFmtId="0" fontId="45" fillId="0" borderId="36" xfId="0" applyFont="1" applyBorder="1" applyAlignment="1">
      <alignment wrapText="1"/>
    </xf>
    <xf numFmtId="0" fontId="45" fillId="0" borderId="31" xfId="0" applyFont="1" applyBorder="1" applyAlignment="1"/>
    <xf numFmtId="0" fontId="55" fillId="3" borderId="14" xfId="0" applyFont="1" applyFill="1" applyBorder="1" applyAlignment="1">
      <alignment wrapText="1"/>
    </xf>
    <xf numFmtId="0" fontId="45" fillId="0" borderId="0" xfId="0" applyFont="1" applyBorder="1" applyAlignment="1">
      <alignment wrapText="1"/>
    </xf>
    <xf numFmtId="0" fontId="45" fillId="0" borderId="30" xfId="0" applyFont="1" applyBorder="1" applyAlignment="1"/>
    <xf numFmtId="0" fontId="45" fillId="0" borderId="14" xfId="0" applyFont="1" applyBorder="1" applyAlignment="1"/>
    <xf numFmtId="0" fontId="45" fillId="0" borderId="0" xfId="0" applyFont="1" applyBorder="1" applyAlignment="1"/>
    <xf numFmtId="0" fontId="45" fillId="0" borderId="37" xfId="0" applyFont="1" applyBorder="1" applyAlignment="1"/>
    <xf numFmtId="0" fontId="45" fillId="0" borderId="32" xfId="0" applyFont="1" applyBorder="1" applyAlignment="1"/>
    <xf numFmtId="0" fontId="45" fillId="0" borderId="43" xfId="0" applyFont="1" applyBorder="1" applyAlignment="1"/>
    <xf numFmtId="0" fontId="4" fillId="0" borderId="0" xfId="2" applyAlignment="1" applyProtection="1">
      <alignment wrapText="1"/>
    </xf>
    <xf numFmtId="0" fontId="0" fillId="0" borderId="0" xfId="0" applyAlignment="1">
      <alignment wrapText="1"/>
    </xf>
    <xf numFmtId="0" fontId="9" fillId="5" borderId="4" xfId="0" applyFont="1" applyFill="1" applyBorder="1" applyAlignment="1">
      <alignment horizontal="right" vertical="top" wrapText="1"/>
    </xf>
    <xf numFmtId="0" fontId="48" fillId="5" borderId="1" xfId="0" applyFont="1" applyFill="1" applyBorder="1" applyAlignment="1">
      <alignment horizontal="right" vertical="top" wrapText="1"/>
    </xf>
    <xf numFmtId="0" fontId="48" fillId="5" borderId="7" xfId="0" applyFont="1" applyFill="1" applyBorder="1" applyAlignment="1">
      <alignment horizontal="right" vertical="top" wrapText="1"/>
    </xf>
    <xf numFmtId="0" fontId="39" fillId="5" borderId="35" xfId="0" applyFont="1" applyFill="1" applyBorder="1" applyAlignment="1">
      <alignment horizontal="center" vertical="center" wrapText="1"/>
    </xf>
    <xf numFmtId="0" fontId="0" fillId="0" borderId="31" xfId="0" applyBorder="1" applyAlignment="1">
      <alignment wrapText="1"/>
    </xf>
    <xf numFmtId="0" fontId="47" fillId="3" borderId="14" xfId="0" applyFont="1" applyFill="1" applyBorder="1" applyAlignment="1">
      <alignment wrapText="1"/>
    </xf>
    <xf numFmtId="0" fontId="10" fillId="0" borderId="30" xfId="0" applyFont="1" applyBorder="1" applyAlignment="1">
      <alignment wrapText="1"/>
    </xf>
    <xf numFmtId="0" fontId="46" fillId="3" borderId="14" xfId="2" applyNumberFormat="1" applyFont="1" applyFill="1" applyBorder="1" applyAlignment="1" applyProtection="1">
      <alignment horizontal="left" wrapText="1"/>
    </xf>
    <xf numFmtId="0" fontId="14" fillId="3" borderId="14" xfId="0" applyFont="1" applyFill="1" applyBorder="1" applyAlignment="1">
      <alignment wrapText="1"/>
    </xf>
    <xf numFmtId="0" fontId="0" fillId="0" borderId="30" xfId="0" applyBorder="1" applyAlignment="1">
      <alignment wrapText="1"/>
    </xf>
    <xf numFmtId="0" fontId="46" fillId="3" borderId="14" xfId="0" applyFont="1" applyFill="1" applyBorder="1" applyAlignment="1">
      <alignment horizontal="left" wrapText="1"/>
    </xf>
    <xf numFmtId="0" fontId="13" fillId="0" borderId="37" xfId="0" applyFont="1" applyBorder="1" applyAlignment="1">
      <alignment wrapText="1"/>
    </xf>
    <xf numFmtId="0" fontId="0" fillId="0" borderId="43" xfId="0" applyBorder="1" applyAlignment="1">
      <alignment wrapText="1"/>
    </xf>
    <xf numFmtId="0" fontId="9" fillId="5" borderId="35" xfId="0" applyFont="1" applyFill="1" applyBorder="1" applyAlignment="1">
      <alignment horizontal="center" vertical="center" wrapText="1"/>
    </xf>
    <xf numFmtId="0" fontId="35" fillId="0" borderId="31" xfId="0" applyFont="1" applyBorder="1" applyAlignment="1">
      <alignment wrapText="1"/>
    </xf>
    <xf numFmtId="0" fontId="21" fillId="4" borderId="39" xfId="0" applyFont="1" applyFill="1" applyBorder="1" applyAlignment="1">
      <alignment horizontal="center" vertical="center" wrapText="1"/>
    </xf>
    <xf numFmtId="0" fontId="0" fillId="0" borderId="42" xfId="0" applyBorder="1" applyAlignment="1">
      <alignment wrapText="1"/>
    </xf>
    <xf numFmtId="0" fontId="42" fillId="8" borderId="42" xfId="0" applyFont="1" applyFill="1" applyBorder="1" applyAlignment="1">
      <alignment wrapText="1"/>
    </xf>
    <xf numFmtId="0" fontId="42" fillId="0" borderId="42" xfId="0" applyFont="1" applyBorder="1" applyAlignment="1">
      <alignment wrapText="1"/>
    </xf>
    <xf numFmtId="0" fontId="42" fillId="0" borderId="21" xfId="0" applyFont="1" applyBorder="1" applyAlignment="1">
      <alignment wrapText="1"/>
    </xf>
    <xf numFmtId="0" fontId="15" fillId="0" borderId="0" xfId="0" applyFont="1" applyBorder="1" applyAlignment="1">
      <alignment vertical="center" wrapText="1"/>
    </xf>
    <xf numFmtId="0" fontId="42" fillId="0" borderId="0" xfId="0" applyFont="1" applyAlignment="1">
      <alignment vertical="center" wrapText="1"/>
    </xf>
    <xf numFmtId="0" fontId="10" fillId="0" borderId="0" xfId="0" applyFont="1" applyAlignment="1">
      <alignment wrapText="1"/>
    </xf>
    <xf numFmtId="0" fontId="42" fillId="8" borderId="42" xfId="0" applyFont="1" applyFill="1" applyBorder="1" applyAlignment="1">
      <alignment horizontal="left" vertical="top" wrapText="1"/>
    </xf>
    <xf numFmtId="0" fontId="42" fillId="8" borderId="21" xfId="0" applyFont="1" applyFill="1" applyBorder="1" applyAlignment="1">
      <alignment horizontal="left" vertical="top" wrapText="1"/>
    </xf>
    <xf numFmtId="0" fontId="21" fillId="4" borderId="35" xfId="0" applyFont="1" applyFill="1" applyBorder="1" applyAlignment="1">
      <alignment horizontal="center" vertical="center" wrapText="1"/>
    </xf>
    <xf numFmtId="0" fontId="10" fillId="0" borderId="36" xfId="0" applyFont="1" applyBorder="1" applyAlignment="1">
      <alignment horizontal="center" vertical="center" wrapText="1"/>
    </xf>
    <xf numFmtId="0" fontId="0" fillId="0" borderId="36" xfId="0" applyBorder="1" applyAlignment="1">
      <alignment wrapText="1"/>
    </xf>
    <xf numFmtId="0" fontId="0" fillId="0" borderId="21" xfId="0" applyBorder="1" applyAlignment="1">
      <alignment wrapText="1"/>
    </xf>
    <xf numFmtId="0" fontId="15" fillId="12" borderId="44" xfId="0" applyFont="1" applyFill="1" applyBorder="1" applyAlignment="1">
      <alignment horizontal="center" vertical="center" wrapText="1"/>
    </xf>
    <xf numFmtId="0" fontId="15" fillId="12" borderId="48" xfId="0" applyFont="1" applyFill="1" applyBorder="1" applyAlignment="1">
      <alignment horizontal="center" vertical="center" wrapText="1"/>
    </xf>
    <xf numFmtId="0" fontId="15" fillId="12" borderId="46" xfId="0" applyFont="1" applyFill="1" applyBorder="1" applyAlignment="1">
      <alignment horizontal="center" vertical="center" wrapText="1"/>
    </xf>
    <xf numFmtId="0" fontId="46" fillId="10" borderId="67" xfId="0" applyFont="1" applyFill="1" applyBorder="1" applyAlignment="1">
      <alignment horizontal="left" vertical="top" wrapText="1"/>
    </xf>
    <xf numFmtId="0" fontId="46" fillId="10" borderId="45" xfId="0" applyFont="1" applyFill="1" applyBorder="1" applyAlignment="1">
      <alignment horizontal="left" vertical="top" wrapText="1"/>
    </xf>
    <xf numFmtId="0" fontId="46" fillId="10" borderId="68" xfId="0" applyFont="1" applyFill="1" applyBorder="1" applyAlignment="1">
      <alignment horizontal="left" vertical="top" wrapText="1"/>
    </xf>
    <xf numFmtId="0" fontId="46" fillId="10" borderId="13" xfId="0" applyFont="1" applyFill="1" applyBorder="1" applyAlignment="1">
      <alignment horizontal="left" vertical="top" wrapText="1"/>
    </xf>
    <xf numFmtId="0" fontId="36" fillId="10" borderId="39" xfId="0" applyFont="1" applyFill="1" applyBorder="1" applyAlignment="1">
      <alignment horizontal="center" vertical="center" wrapText="1"/>
    </xf>
    <xf numFmtId="0" fontId="36" fillId="10" borderId="42" xfId="0" applyFont="1" applyFill="1" applyBorder="1" applyAlignment="1">
      <alignment horizontal="center" vertical="center" wrapText="1"/>
    </xf>
    <xf numFmtId="0" fontId="37" fillId="10" borderId="47" xfId="0" applyFont="1" applyFill="1" applyBorder="1" applyAlignment="1">
      <alignment horizontal="center" vertical="center" wrapText="1"/>
    </xf>
    <xf numFmtId="0" fontId="44" fillId="6" borderId="42" xfId="2" applyFont="1" applyFill="1" applyBorder="1" applyAlignment="1" applyProtection="1">
      <alignment horizontal="center" vertical="center" wrapText="1"/>
    </xf>
    <xf numFmtId="0" fontId="45" fillId="6" borderId="42" xfId="0" applyFont="1" applyFill="1" applyBorder="1" applyAlignment="1">
      <alignment horizontal="center" vertical="center" wrapText="1"/>
    </xf>
    <xf numFmtId="0" fontId="45" fillId="6" borderId="21" xfId="0" applyFont="1" applyFill="1" applyBorder="1" applyAlignment="1">
      <alignment horizontal="center" vertical="center" wrapText="1"/>
    </xf>
    <xf numFmtId="0" fontId="39" fillId="5" borderId="36" xfId="0" applyFont="1" applyFill="1" applyBorder="1" applyAlignment="1">
      <alignment horizontal="center" vertical="center" wrapText="1"/>
    </xf>
    <xf numFmtId="0" fontId="39" fillId="5" borderId="31" xfId="0" applyFont="1" applyFill="1" applyBorder="1" applyAlignment="1">
      <alignment horizontal="center" vertical="center" wrapText="1"/>
    </xf>
    <xf numFmtId="0" fontId="2" fillId="0" borderId="14" xfId="0" applyFont="1" applyBorder="1" applyAlignment="1">
      <alignment horizontal="center" vertical="center" wrapText="1"/>
    </xf>
    <xf numFmtId="0" fontId="2" fillId="0" borderId="0"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32" xfId="0" applyFont="1" applyBorder="1" applyAlignment="1">
      <alignment horizontal="center" vertical="center" wrapText="1"/>
    </xf>
    <xf numFmtId="0" fontId="2" fillId="0" borderId="43" xfId="0" applyFont="1" applyBorder="1" applyAlignment="1">
      <alignment horizontal="center" vertical="center" wrapText="1"/>
    </xf>
    <xf numFmtId="0" fontId="21" fillId="4" borderId="22" xfId="0" applyFont="1" applyFill="1" applyBorder="1" applyAlignment="1">
      <alignment wrapText="1"/>
    </xf>
    <xf numFmtId="0" fontId="10" fillId="0" borderId="21" xfId="0" applyFont="1" applyBorder="1" applyAlignment="1">
      <alignment wrapText="1"/>
    </xf>
    <xf numFmtId="0" fontId="17" fillId="5" borderId="37" xfId="0" applyFont="1" applyFill="1" applyBorder="1" applyAlignment="1">
      <alignment horizontal="center" vertical="center" wrapText="1"/>
    </xf>
    <xf numFmtId="0" fontId="17" fillId="5" borderId="32" xfId="0" applyFont="1" applyFill="1" applyBorder="1" applyAlignment="1">
      <alignment horizontal="center" vertical="center" wrapText="1"/>
    </xf>
    <xf numFmtId="0" fontId="17" fillId="5" borderId="43" xfId="0" applyFont="1" applyFill="1" applyBorder="1" applyAlignment="1">
      <alignment horizontal="center" vertical="center" wrapText="1"/>
    </xf>
    <xf numFmtId="0" fontId="21" fillId="5" borderId="24" xfId="0" applyFont="1" applyFill="1" applyBorder="1" applyAlignment="1">
      <alignment vertical="center" wrapText="1"/>
    </xf>
    <xf numFmtId="0" fontId="46" fillId="10" borderId="51" xfId="0" applyFont="1" applyFill="1" applyBorder="1" applyAlignment="1">
      <alignment horizontal="left" vertical="top" wrapText="1"/>
    </xf>
    <xf numFmtId="0" fontId="46" fillId="10" borderId="52" xfId="0" applyFont="1" applyFill="1" applyBorder="1" applyAlignment="1">
      <alignment horizontal="left" vertical="top" wrapText="1"/>
    </xf>
    <xf numFmtId="0" fontId="15" fillId="6" borderId="22" xfId="0" applyFont="1" applyFill="1" applyBorder="1" applyAlignment="1">
      <alignment horizontal="center" vertical="center" wrapText="1"/>
    </xf>
    <xf numFmtId="0" fontId="42" fillId="6" borderId="42" xfId="0" applyFont="1" applyFill="1" applyBorder="1" applyAlignment="1">
      <alignment horizontal="center" vertical="center" wrapText="1"/>
    </xf>
    <xf numFmtId="0" fontId="46" fillId="10" borderId="23" xfId="0" applyFont="1" applyFill="1" applyBorder="1" applyAlignment="1">
      <alignment horizontal="left" vertical="top" wrapText="1"/>
    </xf>
    <xf numFmtId="0" fontId="10" fillId="0" borderId="52" xfId="0" applyFont="1" applyBorder="1" applyAlignment="1">
      <alignment horizontal="left" vertical="top" wrapText="1"/>
    </xf>
    <xf numFmtId="0" fontId="21" fillId="4" borderId="35" xfId="0" applyFont="1" applyFill="1" applyBorder="1" applyAlignment="1">
      <alignment vertical="center" wrapText="1"/>
    </xf>
    <xf numFmtId="0" fontId="10" fillId="0" borderId="36" xfId="0" applyFont="1" applyBorder="1" applyAlignment="1">
      <alignment vertical="center" wrapText="1"/>
    </xf>
    <xf numFmtId="0" fontId="34" fillId="9" borderId="22" xfId="0" applyFont="1" applyFill="1" applyBorder="1" applyAlignment="1">
      <alignment horizontal="right" vertical="top" wrapText="1"/>
    </xf>
    <xf numFmtId="0" fontId="10" fillId="0" borderId="21" xfId="0" applyFont="1" applyBorder="1" applyAlignment="1">
      <alignment horizontal="right" wrapText="1"/>
    </xf>
    <xf numFmtId="0" fontId="16" fillId="8" borderId="22" xfId="3" applyNumberFormat="1" applyFont="1" applyFill="1" applyBorder="1" applyAlignment="1">
      <alignment vertical="top" wrapText="1"/>
    </xf>
    <xf numFmtId="0" fontId="10" fillId="8" borderId="42" xfId="0" applyFont="1" applyFill="1" applyBorder="1" applyAlignment="1">
      <alignment vertical="top" wrapText="1"/>
    </xf>
    <xf numFmtId="0" fontId="10" fillId="8" borderId="21" xfId="0" applyFont="1" applyFill="1" applyBorder="1" applyAlignment="1">
      <alignment vertical="top" wrapText="1"/>
    </xf>
    <xf numFmtId="0" fontId="16" fillId="8" borderId="22" xfId="3" applyNumberFormat="1" applyFont="1" applyFill="1" applyBorder="1" applyAlignment="1">
      <alignment horizontal="left" vertical="top" wrapText="1"/>
    </xf>
    <xf numFmtId="0" fontId="15" fillId="13" borderId="22" xfId="3" applyNumberFormat="1" applyFont="1" applyFill="1" applyBorder="1" applyAlignment="1">
      <alignment vertical="top" wrapText="1"/>
    </xf>
    <xf numFmtId="0" fontId="10" fillId="13" borderId="42" xfId="0" applyFont="1" applyFill="1" applyBorder="1" applyAlignment="1">
      <alignment vertical="top" wrapText="1"/>
    </xf>
    <xf numFmtId="0" fontId="10" fillId="13" borderId="21" xfId="0" applyFont="1" applyFill="1" applyBorder="1" applyAlignment="1">
      <alignment vertical="top" wrapText="1"/>
    </xf>
    <xf numFmtId="0" fontId="16" fillId="10" borderId="22" xfId="0" applyFont="1" applyFill="1" applyBorder="1" applyAlignment="1">
      <alignment horizontal="left" vertical="top" wrapText="1"/>
    </xf>
    <xf numFmtId="0" fontId="10" fillId="10" borderId="42" xfId="0" applyFont="1" applyFill="1" applyBorder="1" applyAlignment="1">
      <alignment vertical="top" wrapText="1"/>
    </xf>
    <xf numFmtId="0" fontId="10" fillId="10" borderId="21" xfId="0" applyFont="1" applyFill="1" applyBorder="1" applyAlignment="1">
      <alignment vertical="top" wrapText="1"/>
    </xf>
    <xf numFmtId="0" fontId="21" fillId="4" borderId="22" xfId="0" applyFont="1" applyFill="1" applyBorder="1" applyAlignment="1">
      <alignment horizontal="right" vertical="top" wrapText="1"/>
    </xf>
    <xf numFmtId="0" fontId="10" fillId="0" borderId="21" xfId="0" applyFont="1" applyBorder="1" applyAlignment="1">
      <alignment horizontal="right" vertical="top" wrapText="1"/>
    </xf>
    <xf numFmtId="0" fontId="10" fillId="0" borderId="42" xfId="0" applyFont="1" applyBorder="1" applyAlignment="1">
      <alignment vertical="top" wrapText="1"/>
    </xf>
    <xf numFmtId="0" fontId="0" fillId="0" borderId="48" xfId="0" applyBorder="1" applyAlignment="1">
      <alignment horizontal="center" vertical="center" wrapText="1"/>
    </xf>
    <xf numFmtId="0" fontId="0" fillId="0" borderId="46" xfId="0" applyBorder="1" applyAlignment="1">
      <alignment horizontal="center" vertical="center" wrapText="1"/>
    </xf>
    <xf numFmtId="0" fontId="46" fillId="13" borderId="69" xfId="0" applyFont="1" applyFill="1" applyBorder="1" applyAlignment="1">
      <alignment horizontal="left" vertical="top" wrapText="1"/>
    </xf>
    <xf numFmtId="0" fontId="46" fillId="13" borderId="50" xfId="0" applyFont="1" applyFill="1" applyBorder="1" applyAlignment="1">
      <alignment horizontal="left" vertical="top" wrapText="1"/>
    </xf>
    <xf numFmtId="0" fontId="46" fillId="13" borderId="33" xfId="0" applyFont="1" applyFill="1" applyBorder="1" applyAlignment="1">
      <alignment horizontal="left" vertical="top" wrapText="1"/>
    </xf>
    <xf numFmtId="0" fontId="46" fillId="13" borderId="69" xfId="0" applyFont="1" applyFill="1" applyBorder="1" applyAlignment="1">
      <alignment horizontal="center" vertical="top" wrapText="1"/>
    </xf>
    <xf numFmtId="0" fontId="46" fillId="13" borderId="50" xfId="0" applyFont="1" applyFill="1" applyBorder="1" applyAlignment="1">
      <alignment horizontal="center" vertical="top" wrapText="1"/>
    </xf>
    <xf numFmtId="0" fontId="46" fillId="13" borderId="33" xfId="0" applyFont="1" applyFill="1" applyBorder="1" applyAlignment="1">
      <alignment horizontal="center" vertical="top" wrapText="1"/>
    </xf>
    <xf numFmtId="0" fontId="46" fillId="10" borderId="69" xfId="0" applyFont="1" applyFill="1" applyBorder="1" applyAlignment="1">
      <alignment horizontal="left" vertical="top" wrapText="1"/>
    </xf>
    <xf numFmtId="0" fontId="46" fillId="10" borderId="50" xfId="0" applyFont="1" applyFill="1" applyBorder="1" applyAlignment="1">
      <alignment horizontal="left" vertical="top" wrapText="1"/>
    </xf>
    <xf numFmtId="0" fontId="46" fillId="10" borderId="33" xfId="0" applyFont="1" applyFill="1" applyBorder="1" applyAlignment="1">
      <alignment horizontal="left" vertical="top" wrapText="1"/>
    </xf>
    <xf numFmtId="0" fontId="58" fillId="0" borderId="44" xfId="0" applyFont="1" applyFill="1" applyBorder="1" applyAlignment="1">
      <alignment horizontal="center" vertical="center" wrapText="1"/>
    </xf>
    <xf numFmtId="0" fontId="58" fillId="0" borderId="48" xfId="0" applyFont="1" applyFill="1" applyBorder="1" applyAlignment="1">
      <alignment horizontal="center" vertical="center" wrapText="1"/>
    </xf>
    <xf numFmtId="0" fontId="58" fillId="0" borderId="46" xfId="0" applyFont="1" applyFill="1" applyBorder="1" applyAlignment="1">
      <alignment horizontal="center" vertical="center" wrapText="1"/>
    </xf>
    <xf numFmtId="0" fontId="47" fillId="11" borderId="2" xfId="0" applyFont="1" applyFill="1" applyBorder="1" applyAlignment="1">
      <alignment horizontal="left" vertical="top" wrapText="1"/>
    </xf>
    <xf numFmtId="0" fontId="47" fillId="11" borderId="3" xfId="0" applyFont="1" applyFill="1" applyBorder="1" applyAlignment="1">
      <alignment horizontal="left" vertical="top" wrapText="1"/>
    </xf>
    <xf numFmtId="0" fontId="38" fillId="5" borderId="22" xfId="0" applyFont="1" applyFill="1" applyBorder="1" applyAlignment="1">
      <alignment horizontal="center" vertical="center" wrapText="1"/>
    </xf>
    <xf numFmtId="0" fontId="38" fillId="5" borderId="42" xfId="0" applyFont="1" applyFill="1" applyBorder="1" applyAlignment="1">
      <alignment horizontal="center" vertical="center" wrapText="1"/>
    </xf>
    <xf numFmtId="0" fontId="38" fillId="5" borderId="21"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42"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57" fillId="0" borderId="44" xfId="0" applyFont="1" applyFill="1" applyBorder="1" applyAlignment="1">
      <alignment horizontal="center" vertical="center" wrapText="1"/>
    </xf>
    <xf numFmtId="0" fontId="57" fillId="0" borderId="48" xfId="0" applyFont="1" applyFill="1" applyBorder="1" applyAlignment="1">
      <alignment horizontal="center" vertical="center" wrapText="1"/>
    </xf>
    <xf numFmtId="0" fontId="57" fillId="0" borderId="46" xfId="0" applyFont="1" applyFill="1" applyBorder="1" applyAlignment="1">
      <alignment horizontal="center" vertical="center" wrapText="1"/>
    </xf>
    <xf numFmtId="0" fontId="47" fillId="11" borderId="8" xfId="0" applyFont="1" applyFill="1" applyBorder="1" applyAlignment="1">
      <alignment horizontal="left" vertical="top" wrapText="1"/>
    </xf>
    <xf numFmtId="0" fontId="47" fillId="11" borderId="9" xfId="0" applyFont="1" applyFill="1" applyBorder="1" applyAlignment="1">
      <alignment horizontal="left" vertical="top" wrapText="1"/>
    </xf>
    <xf numFmtId="0" fontId="47" fillId="2" borderId="2" xfId="0" applyFont="1" applyFill="1" applyBorder="1" applyAlignment="1">
      <alignment horizontal="center" wrapText="1"/>
    </xf>
    <xf numFmtId="0" fontId="47" fillId="2" borderId="3" xfId="0" applyFont="1" applyFill="1" applyBorder="1" applyAlignment="1">
      <alignment horizontal="center" wrapText="1"/>
    </xf>
    <xf numFmtId="0" fontId="47" fillId="11" borderId="15" xfId="0" applyFont="1" applyFill="1" applyBorder="1" applyAlignment="1">
      <alignment horizontal="left" vertical="top" wrapText="1"/>
    </xf>
    <xf numFmtId="0" fontId="42" fillId="11" borderId="13" xfId="0" applyFont="1" applyFill="1" applyBorder="1" applyAlignment="1">
      <alignment horizontal="left" vertical="top" wrapText="1"/>
    </xf>
    <xf numFmtId="0" fontId="55" fillId="11" borderId="49" xfId="0" applyFont="1" applyFill="1" applyBorder="1" applyAlignment="1">
      <alignment horizontal="left" vertical="top" wrapText="1"/>
    </xf>
    <xf numFmtId="0" fontId="45" fillId="11" borderId="50" xfId="0" applyFont="1" applyFill="1" applyBorder="1" applyAlignment="1">
      <alignment horizontal="left" vertical="top" wrapText="1"/>
    </xf>
    <xf numFmtId="0" fontId="45" fillId="11" borderId="33" xfId="0" applyFont="1" applyFill="1" applyBorder="1" applyAlignment="1">
      <alignment horizontal="left" vertical="top" wrapText="1"/>
    </xf>
    <xf numFmtId="0" fontId="55" fillId="11" borderId="15" xfId="0" applyFont="1" applyFill="1" applyBorder="1" applyAlignment="1">
      <alignment wrapText="1"/>
    </xf>
    <xf numFmtId="0" fontId="45" fillId="11" borderId="45" xfId="0" applyFont="1" applyFill="1" applyBorder="1" applyAlignment="1">
      <alignment wrapText="1"/>
    </xf>
    <xf numFmtId="0" fontId="45" fillId="11" borderId="13" xfId="0" applyFont="1" applyFill="1" applyBorder="1" applyAlignment="1">
      <alignment wrapText="1"/>
    </xf>
    <xf numFmtId="0" fontId="53" fillId="11" borderId="15" xfId="0" applyFont="1" applyFill="1" applyBorder="1" applyAlignment="1">
      <alignment horizontal="left" vertical="top" wrapText="1"/>
    </xf>
    <xf numFmtId="0" fontId="45" fillId="11" borderId="45" xfId="0" applyFont="1" applyFill="1" applyBorder="1" applyAlignment="1">
      <alignment horizontal="left" vertical="top" wrapText="1"/>
    </xf>
    <xf numFmtId="0" fontId="45" fillId="11" borderId="13" xfId="0" applyFont="1" applyFill="1" applyBorder="1" applyAlignment="1">
      <alignment horizontal="left" vertical="top" wrapText="1"/>
    </xf>
    <xf numFmtId="0" fontId="55" fillId="11" borderId="15" xfId="0" applyFont="1" applyFill="1" applyBorder="1" applyAlignment="1">
      <alignment horizontal="left" vertical="top" wrapText="1"/>
    </xf>
    <xf numFmtId="0" fontId="38" fillId="5" borderId="36" xfId="0" applyFont="1" applyFill="1" applyBorder="1" applyAlignment="1">
      <alignment horizontal="center" vertical="center" wrapText="1"/>
    </xf>
    <xf numFmtId="0" fontId="38" fillId="5" borderId="31" xfId="0" applyFont="1" applyFill="1" applyBorder="1" applyAlignment="1">
      <alignment horizontal="center" vertical="center" wrapText="1"/>
    </xf>
    <xf numFmtId="0" fontId="2" fillId="0" borderId="7" xfId="0" applyFont="1" applyBorder="1" applyAlignment="1">
      <alignment wrapText="1"/>
    </xf>
    <xf numFmtId="0" fontId="2" fillId="0" borderId="9" xfId="0" applyFont="1" applyBorder="1" applyAlignment="1">
      <alignment wrapText="1"/>
    </xf>
    <xf numFmtId="0" fontId="2" fillId="0" borderId="1" xfId="0" applyFont="1" applyBorder="1" applyAlignment="1">
      <alignment wrapText="1"/>
    </xf>
    <xf numFmtId="0" fontId="2" fillId="0" borderId="3" xfId="0" applyFont="1" applyBorder="1" applyAlignment="1">
      <alignment wrapText="1"/>
    </xf>
    <xf numFmtId="0" fontId="11" fillId="12" borderId="1" xfId="0" applyFont="1" applyFill="1" applyBorder="1" applyAlignment="1">
      <alignment horizontal="left" vertical="center" wrapText="1"/>
    </xf>
    <xf numFmtId="0" fontId="0" fillId="0" borderId="3" xfId="0" applyBorder="1" applyAlignment="1">
      <alignment wrapText="1"/>
    </xf>
    <xf numFmtId="0" fontId="7" fillId="8" borderId="42" xfId="0" applyFont="1" applyFill="1" applyBorder="1" applyAlignment="1">
      <alignment wrapText="1"/>
    </xf>
    <xf numFmtId="0" fontId="7" fillId="0" borderId="42" xfId="0" applyFont="1" applyBorder="1" applyAlignment="1">
      <alignment wrapText="1"/>
    </xf>
    <xf numFmtId="0" fontId="7" fillId="0" borderId="21" xfId="0" applyFont="1" applyBorder="1" applyAlignment="1">
      <alignment wrapText="1"/>
    </xf>
    <xf numFmtId="0" fontId="20" fillId="8" borderId="22" xfId="3" applyNumberFormat="1" applyFont="1" applyFill="1" applyBorder="1" applyAlignment="1">
      <alignment horizontal="left" vertical="top" wrapText="1"/>
    </xf>
    <xf numFmtId="0" fontId="23" fillId="0" borderId="42" xfId="0" applyFont="1" applyBorder="1" applyAlignment="1">
      <alignment vertical="top" wrapText="1"/>
    </xf>
    <xf numFmtId="0" fontId="0" fillId="10" borderId="42" xfId="0" applyFill="1" applyBorder="1" applyAlignment="1">
      <alignment vertical="top" wrapText="1"/>
    </xf>
    <xf numFmtId="0" fontId="0" fillId="10" borderId="21" xfId="0" applyFill="1" applyBorder="1" applyAlignment="1">
      <alignment vertical="top" wrapText="1"/>
    </xf>
    <xf numFmtId="0" fontId="20" fillId="8" borderId="22" xfId="3" applyNumberFormat="1" applyFont="1" applyFill="1" applyBorder="1" applyAlignment="1">
      <alignment vertical="top" wrapText="1"/>
    </xf>
    <xf numFmtId="0" fontId="35" fillId="8" borderId="42" xfId="0" applyFont="1" applyFill="1" applyBorder="1" applyAlignment="1">
      <alignment vertical="top" wrapText="1"/>
    </xf>
    <xf numFmtId="0" fontId="35" fillId="8" borderId="21" xfId="0" applyFont="1" applyFill="1" applyBorder="1" applyAlignment="1">
      <alignment vertical="top" wrapText="1"/>
    </xf>
    <xf numFmtId="0" fontId="27" fillId="4" borderId="22" xfId="0" applyFont="1" applyFill="1" applyBorder="1" applyAlignment="1">
      <alignment horizontal="right" vertical="top" wrapText="1"/>
    </xf>
    <xf numFmtId="0" fontId="0" fillId="0" borderId="21" xfId="0" applyBorder="1" applyAlignment="1">
      <alignment horizontal="right" vertical="top" wrapText="1"/>
    </xf>
    <xf numFmtId="0" fontId="43" fillId="8" borderId="42" xfId="0" applyFont="1" applyFill="1" applyBorder="1" applyAlignment="1">
      <alignment horizontal="left" vertical="top" wrapText="1"/>
    </xf>
    <xf numFmtId="0" fontId="43" fillId="8" borderId="21" xfId="0" applyFont="1" applyFill="1" applyBorder="1" applyAlignment="1">
      <alignment horizontal="left" vertical="top" wrapText="1"/>
    </xf>
    <xf numFmtId="0" fontId="15" fillId="11" borderId="22" xfId="3" applyNumberFormat="1" applyFont="1" applyFill="1" applyBorder="1" applyAlignment="1">
      <alignment vertical="top" wrapText="1"/>
    </xf>
    <xf numFmtId="0" fontId="23" fillId="11" borderId="42" xfId="0" applyFont="1" applyFill="1" applyBorder="1" applyAlignment="1">
      <alignment vertical="top" wrapText="1"/>
    </xf>
    <xf numFmtId="0" fontId="23" fillId="11" borderId="21" xfId="0" applyFont="1" applyFill="1" applyBorder="1" applyAlignment="1">
      <alignment vertical="top" wrapText="1"/>
    </xf>
    <xf numFmtId="0" fontId="6" fillId="5" borderId="24" xfId="0" applyFont="1" applyFill="1" applyBorder="1" applyAlignment="1">
      <alignment vertical="center" wrapText="1"/>
    </xf>
    <xf numFmtId="0" fontId="8" fillId="10" borderId="51" xfId="0" applyFont="1" applyFill="1" applyBorder="1" applyAlignment="1">
      <alignment horizontal="left" vertical="top" wrapText="1"/>
    </xf>
    <xf numFmtId="0" fontId="8" fillId="10" borderId="52" xfId="0" applyFont="1" applyFill="1" applyBorder="1" applyAlignment="1">
      <alignment horizontal="left" vertical="top" wrapText="1"/>
    </xf>
    <xf numFmtId="0" fontId="6" fillId="4" borderId="22" xfId="0" applyFont="1" applyFill="1" applyBorder="1" applyAlignment="1">
      <alignment wrapText="1"/>
    </xf>
    <xf numFmtId="0" fontId="9" fillId="4" borderId="35" xfId="0" applyFont="1" applyFill="1" applyBorder="1" applyAlignment="1">
      <alignment vertical="center" wrapText="1"/>
    </xf>
    <xf numFmtId="0" fontId="0" fillId="0" borderId="36" xfId="0" applyBorder="1" applyAlignment="1">
      <alignment vertical="center" wrapText="1"/>
    </xf>
    <xf numFmtId="0" fontId="23" fillId="8" borderId="42" xfId="0" applyFont="1" applyFill="1" applyBorder="1" applyAlignment="1">
      <alignment vertical="top" wrapText="1"/>
    </xf>
    <xf numFmtId="0" fontId="0" fillId="0" borderId="21" xfId="0" applyBorder="1" applyAlignment="1">
      <alignment horizontal="right" wrapText="1"/>
    </xf>
    <xf numFmtId="0" fontId="0" fillId="0" borderId="0" xfId="0" applyAlignment="1"/>
  </cellXfs>
  <cellStyles count="4">
    <cellStyle name="Currency" xfId="1" builtinId="4"/>
    <cellStyle name="Hyperlink" xfId="2" builtinId="8"/>
    <cellStyle name="Normal" xfId="0" builtinId="0"/>
    <cellStyle name="Normal_Business Process " xfId="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B5F01"/>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FF"/>
      <color rgb="FFFFFF00"/>
      <color rgb="FF66FF66"/>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57150</xdr:colOff>
      <xdr:row>1</xdr:row>
      <xdr:rowOff>38100</xdr:rowOff>
    </xdr:from>
    <xdr:to>
      <xdr:col>1</xdr:col>
      <xdr:colOff>571500</xdr:colOff>
      <xdr:row>1</xdr:row>
      <xdr:rowOff>485775</xdr:rowOff>
    </xdr:to>
    <xdr:pic>
      <xdr:nvPicPr>
        <xdr:cNvPr id="9423" name="Picture 1" descr="slp_logo_0066ff"/>
        <xdr:cNvPicPr>
          <a:picLocks noChangeAspect="1" noChangeArrowheads="1"/>
        </xdr:cNvPicPr>
      </xdr:nvPicPr>
      <xdr:blipFill>
        <a:blip xmlns:r="http://schemas.openxmlformats.org/officeDocument/2006/relationships" r:embed="rId1" cstate="print"/>
        <a:srcRect/>
        <a:stretch>
          <a:fillRect/>
        </a:stretch>
      </xdr:blipFill>
      <xdr:spPr bwMode="auto">
        <a:xfrm>
          <a:off x="371475" y="209550"/>
          <a:ext cx="514350" cy="4476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638175</xdr:colOff>
      <xdr:row>10</xdr:row>
      <xdr:rowOff>85725</xdr:rowOff>
    </xdr:from>
    <xdr:to>
      <xdr:col>5</xdr:col>
      <xdr:colOff>85726</xdr:colOff>
      <xdr:row>11</xdr:row>
      <xdr:rowOff>104775</xdr:rowOff>
    </xdr:to>
    <xdr:sp macro="" textlink="">
      <xdr:nvSpPr>
        <xdr:cNvPr id="1899" name="Text Box 5"/>
        <xdr:cNvSpPr txBox="1">
          <a:spLocks noChangeArrowheads="1"/>
        </xdr:cNvSpPr>
      </xdr:nvSpPr>
      <xdr:spPr bwMode="auto">
        <a:xfrm>
          <a:off x="5610225" y="2171700"/>
          <a:ext cx="85725" cy="209550"/>
        </a:xfrm>
        <a:prstGeom prst="rect">
          <a:avLst/>
        </a:prstGeom>
        <a:noFill/>
        <a:ln w="9525">
          <a:noFill/>
          <a:miter lim="800000"/>
          <a:headEnd/>
          <a:tailEnd/>
        </a:ln>
      </xdr:spPr>
    </xdr:sp>
    <xdr:clientData/>
  </xdr:twoCellAnchor>
  <xdr:twoCellAnchor editAs="oneCell">
    <xdr:from>
      <xdr:col>4</xdr:col>
      <xdr:colOff>638175</xdr:colOff>
      <xdr:row>7</xdr:row>
      <xdr:rowOff>85725</xdr:rowOff>
    </xdr:from>
    <xdr:to>
      <xdr:col>5</xdr:col>
      <xdr:colOff>85726</xdr:colOff>
      <xdr:row>8</xdr:row>
      <xdr:rowOff>9525</xdr:rowOff>
    </xdr:to>
    <xdr:sp macro="" textlink="">
      <xdr:nvSpPr>
        <xdr:cNvPr id="1900" name="Text Box 5"/>
        <xdr:cNvSpPr txBox="1">
          <a:spLocks noChangeArrowheads="1"/>
        </xdr:cNvSpPr>
      </xdr:nvSpPr>
      <xdr:spPr bwMode="auto">
        <a:xfrm>
          <a:off x="5610225" y="1495425"/>
          <a:ext cx="85725" cy="342900"/>
        </a:xfrm>
        <a:prstGeom prst="rect">
          <a:avLst/>
        </a:prstGeom>
        <a:noFill/>
        <a:ln w="9525">
          <a:noFill/>
          <a:miter lim="800000"/>
          <a:headEnd/>
          <a:tailEnd/>
        </a:ln>
      </xdr:spPr>
    </xdr:sp>
    <xdr:clientData/>
  </xdr:twoCellAnchor>
  <xdr:twoCellAnchor editAs="oneCell">
    <xdr:from>
      <xdr:col>4</xdr:col>
      <xdr:colOff>638175</xdr:colOff>
      <xdr:row>8</xdr:row>
      <xdr:rowOff>85725</xdr:rowOff>
    </xdr:from>
    <xdr:to>
      <xdr:col>5</xdr:col>
      <xdr:colOff>85726</xdr:colOff>
      <xdr:row>9</xdr:row>
      <xdr:rowOff>104775</xdr:rowOff>
    </xdr:to>
    <xdr:sp macro="" textlink="">
      <xdr:nvSpPr>
        <xdr:cNvPr id="1901" name="Text Box 5"/>
        <xdr:cNvSpPr txBox="1">
          <a:spLocks noChangeArrowheads="1"/>
        </xdr:cNvSpPr>
      </xdr:nvSpPr>
      <xdr:spPr bwMode="auto">
        <a:xfrm>
          <a:off x="5610225" y="1819275"/>
          <a:ext cx="85725" cy="200025"/>
        </a:xfrm>
        <a:prstGeom prst="rect">
          <a:avLst/>
        </a:prstGeom>
        <a:noFill/>
        <a:ln w="9525">
          <a:noFill/>
          <a:miter lim="800000"/>
          <a:headEnd/>
          <a:tailEnd/>
        </a:ln>
      </xdr:spPr>
    </xdr:sp>
    <xdr:clientData/>
  </xdr:twoCellAnchor>
  <xdr:twoCellAnchor editAs="oneCell">
    <xdr:from>
      <xdr:col>4</xdr:col>
      <xdr:colOff>638175</xdr:colOff>
      <xdr:row>9</xdr:row>
      <xdr:rowOff>85725</xdr:rowOff>
    </xdr:from>
    <xdr:to>
      <xdr:col>5</xdr:col>
      <xdr:colOff>85726</xdr:colOff>
      <xdr:row>10</xdr:row>
      <xdr:rowOff>77561</xdr:rowOff>
    </xdr:to>
    <xdr:sp macro="" textlink="">
      <xdr:nvSpPr>
        <xdr:cNvPr id="1902" name="Text Box 5"/>
        <xdr:cNvSpPr txBox="1">
          <a:spLocks noChangeArrowheads="1"/>
        </xdr:cNvSpPr>
      </xdr:nvSpPr>
      <xdr:spPr bwMode="auto">
        <a:xfrm>
          <a:off x="5610225" y="2000250"/>
          <a:ext cx="85725" cy="19050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638175</xdr:colOff>
      <xdr:row>10</xdr:row>
      <xdr:rowOff>85725</xdr:rowOff>
    </xdr:from>
    <xdr:to>
      <xdr:col>5</xdr:col>
      <xdr:colOff>85726</xdr:colOff>
      <xdr:row>11</xdr:row>
      <xdr:rowOff>104775</xdr:rowOff>
    </xdr:to>
    <xdr:sp macro="" textlink="">
      <xdr:nvSpPr>
        <xdr:cNvPr id="2" name="Text Box 5"/>
        <xdr:cNvSpPr txBox="1">
          <a:spLocks noChangeArrowheads="1"/>
        </xdr:cNvSpPr>
      </xdr:nvSpPr>
      <xdr:spPr bwMode="auto">
        <a:xfrm>
          <a:off x="7362825" y="2362200"/>
          <a:ext cx="85726" cy="209550"/>
        </a:xfrm>
        <a:prstGeom prst="rect">
          <a:avLst/>
        </a:prstGeom>
        <a:noFill/>
        <a:ln w="9525">
          <a:noFill/>
          <a:miter lim="800000"/>
          <a:headEnd/>
          <a:tailEnd/>
        </a:ln>
      </xdr:spPr>
    </xdr:sp>
    <xdr:clientData/>
  </xdr:twoCellAnchor>
  <xdr:twoCellAnchor editAs="oneCell">
    <xdr:from>
      <xdr:col>4</xdr:col>
      <xdr:colOff>638175</xdr:colOff>
      <xdr:row>7</xdr:row>
      <xdr:rowOff>85725</xdr:rowOff>
    </xdr:from>
    <xdr:to>
      <xdr:col>5</xdr:col>
      <xdr:colOff>85726</xdr:colOff>
      <xdr:row>8</xdr:row>
      <xdr:rowOff>104775</xdr:rowOff>
    </xdr:to>
    <xdr:sp macro="" textlink="">
      <xdr:nvSpPr>
        <xdr:cNvPr id="3" name="Text Box 5"/>
        <xdr:cNvSpPr txBox="1">
          <a:spLocks noChangeArrowheads="1"/>
        </xdr:cNvSpPr>
      </xdr:nvSpPr>
      <xdr:spPr bwMode="auto">
        <a:xfrm>
          <a:off x="7362825" y="1685925"/>
          <a:ext cx="85726" cy="342900"/>
        </a:xfrm>
        <a:prstGeom prst="rect">
          <a:avLst/>
        </a:prstGeom>
        <a:noFill/>
        <a:ln w="9525">
          <a:noFill/>
          <a:miter lim="800000"/>
          <a:headEnd/>
          <a:tailEnd/>
        </a:ln>
      </xdr:spPr>
    </xdr:sp>
    <xdr:clientData/>
  </xdr:twoCellAnchor>
  <xdr:twoCellAnchor editAs="oneCell">
    <xdr:from>
      <xdr:col>4</xdr:col>
      <xdr:colOff>638175</xdr:colOff>
      <xdr:row>8</xdr:row>
      <xdr:rowOff>85725</xdr:rowOff>
    </xdr:from>
    <xdr:to>
      <xdr:col>5</xdr:col>
      <xdr:colOff>85726</xdr:colOff>
      <xdr:row>9</xdr:row>
      <xdr:rowOff>104775</xdr:rowOff>
    </xdr:to>
    <xdr:sp macro="" textlink="">
      <xdr:nvSpPr>
        <xdr:cNvPr id="4" name="Text Box 5"/>
        <xdr:cNvSpPr txBox="1">
          <a:spLocks noChangeArrowheads="1"/>
        </xdr:cNvSpPr>
      </xdr:nvSpPr>
      <xdr:spPr bwMode="auto">
        <a:xfrm>
          <a:off x="7362825" y="2009775"/>
          <a:ext cx="85726" cy="200025"/>
        </a:xfrm>
        <a:prstGeom prst="rect">
          <a:avLst/>
        </a:prstGeom>
        <a:noFill/>
        <a:ln w="9525">
          <a:noFill/>
          <a:miter lim="800000"/>
          <a:headEnd/>
          <a:tailEnd/>
        </a:ln>
      </xdr:spPr>
    </xdr:sp>
    <xdr:clientData/>
  </xdr:twoCellAnchor>
  <xdr:twoCellAnchor editAs="oneCell">
    <xdr:from>
      <xdr:col>4</xdr:col>
      <xdr:colOff>638175</xdr:colOff>
      <xdr:row>9</xdr:row>
      <xdr:rowOff>85725</xdr:rowOff>
    </xdr:from>
    <xdr:to>
      <xdr:col>5</xdr:col>
      <xdr:colOff>85726</xdr:colOff>
      <xdr:row>10</xdr:row>
      <xdr:rowOff>104775</xdr:rowOff>
    </xdr:to>
    <xdr:sp macro="" textlink="">
      <xdr:nvSpPr>
        <xdr:cNvPr id="5" name="Text Box 5"/>
        <xdr:cNvSpPr txBox="1">
          <a:spLocks noChangeArrowheads="1"/>
        </xdr:cNvSpPr>
      </xdr:nvSpPr>
      <xdr:spPr bwMode="auto">
        <a:xfrm>
          <a:off x="7362825" y="2190750"/>
          <a:ext cx="85726" cy="190500"/>
        </a:xfrm>
        <a:prstGeom prst="rect">
          <a:avLst/>
        </a:prstGeom>
        <a:noFill/>
        <a:ln w="9525">
          <a:no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0</xdr:rowOff>
    </xdr:from>
    <xdr:to>
      <xdr:col>14</xdr:col>
      <xdr:colOff>76256</xdr:colOff>
      <xdr:row>32</xdr:row>
      <xdr:rowOff>71472</xdr:rowOff>
    </xdr:to>
    <xdr:grpSp>
      <xdr:nvGrpSpPr>
        <xdr:cNvPr id="2" name="Group 1"/>
        <xdr:cNvGrpSpPr/>
      </xdr:nvGrpSpPr>
      <xdr:grpSpPr>
        <a:xfrm>
          <a:off x="609600" y="323850"/>
          <a:ext cx="8001056" cy="4929222"/>
          <a:chOff x="500034" y="500042"/>
          <a:chExt cx="8001056" cy="4929222"/>
        </a:xfrm>
      </xdr:grpSpPr>
      <xdr:sp macro="" textlink="">
        <xdr:nvSpPr>
          <xdr:cNvPr id="3" name="TextBox 7"/>
          <xdr:cNvSpPr txBox="1"/>
        </xdr:nvSpPr>
        <xdr:spPr>
          <a:xfrm>
            <a:off x="500034" y="500042"/>
            <a:ext cx="5256054" cy="52322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2800"/>
              <a:t>Adding a new BPM monitor to BAC</a:t>
            </a:r>
          </a:p>
        </xdr:txBody>
      </xdr:sp>
      <xdr:grpSp>
        <xdr:nvGrpSpPr>
          <xdr:cNvPr id="4" name="Group 3"/>
          <xdr:cNvGrpSpPr/>
        </xdr:nvGrpSpPr>
        <xdr:grpSpPr>
          <a:xfrm>
            <a:off x="571472" y="2071678"/>
            <a:ext cx="7929618" cy="3357586"/>
            <a:chOff x="571472" y="2071678"/>
            <a:chExt cx="7929618" cy="3357586"/>
          </a:xfrm>
        </xdr:grpSpPr>
        <xdr:sp macro="" textlink="">
          <xdr:nvSpPr>
            <xdr:cNvPr id="5" name="Rectangle 4"/>
            <xdr:cNvSpPr/>
          </xdr:nvSpPr>
          <xdr:spPr>
            <a:xfrm>
              <a:off x="571472" y="2071678"/>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Create new  BP template and complete details  and request monitor CI </a:t>
              </a:r>
            </a:p>
          </xdr:txBody>
        </xdr:sp>
        <xdr:sp macro="" textlink="">
          <xdr:nvSpPr>
            <xdr:cNvPr id="6" name="Rectangle 5"/>
            <xdr:cNvSpPr/>
          </xdr:nvSpPr>
          <xdr:spPr>
            <a:xfrm>
              <a:off x="3357554" y="2071678"/>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Document Business process and validate in the application</a:t>
              </a:r>
            </a:p>
          </xdr:txBody>
        </xdr:sp>
        <xdr:sp macro="" textlink="">
          <xdr:nvSpPr>
            <xdr:cNvPr id="7" name="Rectangle 6"/>
            <xdr:cNvSpPr/>
          </xdr:nvSpPr>
          <xdr:spPr>
            <a:xfrm>
              <a:off x="6143636" y="2071678"/>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Code and unit test monitor.  SR to BAC L3 if assistance needed</a:t>
              </a:r>
            </a:p>
          </xdr:txBody>
        </xdr:sp>
        <xdr:sp macro="" textlink="">
          <xdr:nvSpPr>
            <xdr:cNvPr id="8" name="Rectangle 7"/>
            <xdr:cNvSpPr/>
          </xdr:nvSpPr>
          <xdr:spPr>
            <a:xfrm>
              <a:off x="571472" y="4071942"/>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Upload to BAC ITG and test monitor</a:t>
              </a:r>
            </a:p>
          </xdr:txBody>
        </xdr:sp>
        <xdr:sp macro="" textlink="">
          <xdr:nvSpPr>
            <xdr:cNvPr id="9" name="Rectangle 8"/>
            <xdr:cNvSpPr/>
          </xdr:nvSpPr>
          <xdr:spPr>
            <a:xfrm>
              <a:off x="3357554" y="4071942"/>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Verify CI added to HPSC</a:t>
              </a:r>
            </a:p>
          </xdr:txBody>
        </xdr:sp>
        <xdr:sp macro="" textlink="">
          <xdr:nvSpPr>
            <xdr:cNvPr id="10" name="Rectangle 9"/>
            <xdr:cNvSpPr/>
          </xdr:nvSpPr>
          <xdr:spPr>
            <a:xfrm>
              <a:off x="6143636" y="4071942"/>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Log SR/RFC to BAC team to have monitor audited, loaded and configured in production</a:t>
              </a:r>
            </a:p>
          </xdr:txBody>
        </xdr:sp>
        <xdr:cxnSp macro="">
          <xdr:nvCxnSpPr>
            <xdr:cNvPr id="11" name="Straight Arrow Connector 10"/>
            <xdr:cNvCxnSpPr>
              <a:stCxn id="5" idx="3"/>
              <a:endCxn id="6" idx="1"/>
            </xdr:cNvCxnSpPr>
          </xdr:nvCxnSpPr>
          <xdr:spPr>
            <a:xfrm>
              <a:off x="2928926" y="2750339"/>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2" name="Elbow Connector 11"/>
            <xdr:cNvCxnSpPr>
              <a:endCxn id="7" idx="0"/>
            </xdr:cNvCxnSpPr>
          </xdr:nvCxnSpPr>
          <xdr:spPr>
            <a:xfrm rot="5400000">
              <a:off x="4214810" y="964389"/>
              <a:ext cx="642942" cy="5572164"/>
            </a:xfrm>
            <a:prstGeom prst="bentConnector3">
              <a:avLst>
                <a:gd name="adj1" fmla="val 50000"/>
              </a:avLst>
            </a:prstGeom>
            <a:ln w="38100">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xdr:cNvCxnSpPr/>
          </xdr:nvCxnSpPr>
          <xdr:spPr>
            <a:xfrm>
              <a:off x="5715008" y="2786058"/>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4" name="Straight Arrow Connector 13"/>
            <xdr:cNvCxnSpPr/>
          </xdr:nvCxnSpPr>
          <xdr:spPr>
            <a:xfrm>
              <a:off x="5715008" y="4786322"/>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xdr:cNvCxnSpPr/>
          </xdr:nvCxnSpPr>
          <xdr:spPr>
            <a:xfrm>
              <a:off x="2928926" y="4786322"/>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3</xdr:row>
      <xdr:rowOff>0</xdr:rowOff>
    </xdr:from>
    <xdr:to>
      <xdr:col>14</xdr:col>
      <xdr:colOff>76256</xdr:colOff>
      <xdr:row>33</xdr:row>
      <xdr:rowOff>71472</xdr:rowOff>
    </xdr:to>
    <xdr:grpSp>
      <xdr:nvGrpSpPr>
        <xdr:cNvPr id="2" name="Group 1"/>
        <xdr:cNvGrpSpPr/>
      </xdr:nvGrpSpPr>
      <xdr:grpSpPr>
        <a:xfrm>
          <a:off x="609600" y="485775"/>
          <a:ext cx="8001056" cy="4929222"/>
          <a:chOff x="500034" y="500042"/>
          <a:chExt cx="8001056" cy="4929222"/>
        </a:xfrm>
      </xdr:grpSpPr>
      <xdr:sp macro="" textlink="">
        <xdr:nvSpPr>
          <xdr:cNvPr id="3" name="Rectangle 2"/>
          <xdr:cNvSpPr/>
        </xdr:nvSpPr>
        <xdr:spPr>
          <a:xfrm>
            <a:off x="571472" y="2071678"/>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Edit existing BP template  with the required changes</a:t>
            </a:r>
          </a:p>
        </xdr:txBody>
      </xdr:sp>
      <xdr:sp macro="" textlink="">
        <xdr:nvSpPr>
          <xdr:cNvPr id="4" name="Rectangle 3"/>
          <xdr:cNvSpPr/>
        </xdr:nvSpPr>
        <xdr:spPr>
          <a:xfrm>
            <a:off x="3357554" y="2071678"/>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Validate process changes in the application</a:t>
            </a:r>
          </a:p>
        </xdr:txBody>
      </xdr:sp>
      <xdr:sp macro="" textlink="">
        <xdr:nvSpPr>
          <xdr:cNvPr id="5" name="Rectangle 4"/>
          <xdr:cNvSpPr/>
        </xdr:nvSpPr>
        <xdr:spPr>
          <a:xfrm>
            <a:off x="6143636" y="2071678"/>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Code and until test monitor. SR to BAC L3 if assistance needed</a:t>
            </a:r>
          </a:p>
        </xdr:txBody>
      </xdr:sp>
      <xdr:sp macro="" textlink="">
        <xdr:nvSpPr>
          <xdr:cNvPr id="6" name="Rectangle 5"/>
          <xdr:cNvSpPr/>
        </xdr:nvSpPr>
        <xdr:spPr>
          <a:xfrm>
            <a:off x="571472" y="4071942"/>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Upload to BAC ITG and test monitor</a:t>
            </a:r>
          </a:p>
        </xdr:txBody>
      </xdr:sp>
      <xdr:sp macro="" textlink="">
        <xdr:nvSpPr>
          <xdr:cNvPr id="7" name="Rectangle 6"/>
          <xdr:cNvSpPr/>
        </xdr:nvSpPr>
        <xdr:spPr>
          <a:xfrm>
            <a:off x="3357554" y="4071942"/>
            <a:ext cx="2357454" cy="13573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Log SR to BAC team to have monitor loaded and configured in production</a:t>
            </a:r>
          </a:p>
        </xdr:txBody>
      </xdr:sp>
      <xdr:sp macro="" textlink="">
        <xdr:nvSpPr>
          <xdr:cNvPr id="8" name="TextBox 7"/>
          <xdr:cNvSpPr txBox="1"/>
        </xdr:nvSpPr>
        <xdr:spPr>
          <a:xfrm>
            <a:off x="500034" y="500042"/>
            <a:ext cx="5864169" cy="52322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2800"/>
              <a:t>Changing an existing BAC BPM monitor</a:t>
            </a:r>
          </a:p>
        </xdr:txBody>
      </xdr:sp>
      <xdr:cxnSp macro="">
        <xdr:nvCxnSpPr>
          <xdr:cNvPr id="9" name="Straight Arrow Connector 8"/>
          <xdr:cNvCxnSpPr>
            <a:stCxn id="3" idx="3"/>
            <a:endCxn id="4" idx="1"/>
          </xdr:cNvCxnSpPr>
        </xdr:nvCxnSpPr>
        <xdr:spPr>
          <a:xfrm>
            <a:off x="2928926" y="2750339"/>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0" name="Elbow Connector 9"/>
          <xdr:cNvCxnSpPr>
            <a:stCxn id="5" idx="2"/>
            <a:endCxn id="6" idx="0"/>
          </xdr:cNvCxnSpPr>
        </xdr:nvCxnSpPr>
        <xdr:spPr>
          <a:xfrm rot="5400000">
            <a:off x="4214810" y="964389"/>
            <a:ext cx="642942" cy="5572164"/>
          </a:xfrm>
          <a:prstGeom prst="bentConnector3">
            <a:avLst>
              <a:gd name="adj1" fmla="val 50000"/>
            </a:avLst>
          </a:prstGeom>
          <a:ln w="38100">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xdr:cNvCxnSpPr/>
        </xdr:nvCxnSpPr>
        <xdr:spPr>
          <a:xfrm>
            <a:off x="5715008" y="2786058"/>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cxnSp macro="">
        <xdr:nvCxnSpPr>
          <xdr:cNvPr id="12" name="Straight Arrow Connector 11"/>
          <xdr:cNvCxnSpPr/>
        </xdr:nvCxnSpPr>
        <xdr:spPr>
          <a:xfrm>
            <a:off x="2928926" y="4786322"/>
            <a:ext cx="428628" cy="1588"/>
          </a:xfrm>
          <a:prstGeom prst="straightConnector1">
            <a:avLst/>
          </a:prstGeom>
          <a:ln w="38100" cmpd="sng">
            <a:tailEnd type="stealth"/>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ITMSBACITIO002@americas.hpqcorp.net" TargetMode="External"/><Relationship Id="rId2" Type="http://schemas.openxmlformats.org/officeDocument/2006/relationships/hyperlink" Target="mailto:ITMSBACITIO001@americas.hpqcorp.net" TargetMode="External"/><Relationship Id="rId1" Type="http://schemas.openxmlformats.org/officeDocument/2006/relationships/hyperlink" Target="mailto:felecia.johnson@hp.co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ronnie.falgout@hp.com" TargetMode="External"/><Relationship Id="rId13" Type="http://schemas.openxmlformats.org/officeDocument/2006/relationships/hyperlink" Target="mailto:ronnie.falgout@hp.com" TargetMode="External"/><Relationship Id="rId18" Type="http://schemas.openxmlformats.org/officeDocument/2006/relationships/comments" Target="../comments1.xml"/><Relationship Id="rId3" Type="http://schemas.openxmlformats.org/officeDocument/2006/relationships/hyperlink" Target="mailto:fariba.alavi@hp.com" TargetMode="External"/><Relationship Id="rId7" Type="http://schemas.openxmlformats.org/officeDocument/2006/relationships/hyperlink" Target="mailto:ronnie.falgout@hp.com" TargetMode="External"/><Relationship Id="rId12" Type="http://schemas.openxmlformats.org/officeDocument/2006/relationships/hyperlink" Target="mailto:ronnie.falgout@hp.com" TargetMode="External"/><Relationship Id="rId17" Type="http://schemas.openxmlformats.org/officeDocument/2006/relationships/vmlDrawing" Target="../drawings/vmlDrawing1.vml"/><Relationship Id="rId2" Type="http://schemas.openxmlformats.org/officeDocument/2006/relationships/hyperlink" Target="mailto:tom.grant@hp.com" TargetMode="External"/><Relationship Id="rId16" Type="http://schemas.openxmlformats.org/officeDocument/2006/relationships/drawing" Target="../drawings/drawing2.xml"/><Relationship Id="rId1" Type="http://schemas.openxmlformats.org/officeDocument/2006/relationships/hyperlink" Target="http://apate.corp.hp.com/" TargetMode="External"/><Relationship Id="rId6" Type="http://schemas.openxmlformats.org/officeDocument/2006/relationships/hyperlink" Target="mailto:tom.grant@hp.com" TargetMode="External"/><Relationship Id="rId11" Type="http://schemas.openxmlformats.org/officeDocument/2006/relationships/hyperlink" Target="mailto:fariba.alavi@hp.com" TargetMode="External"/><Relationship Id="rId5" Type="http://schemas.openxmlformats.org/officeDocument/2006/relationships/hyperlink" Target="mailto:kirk.duwe@hp.com" TargetMode="External"/><Relationship Id="rId15" Type="http://schemas.openxmlformats.org/officeDocument/2006/relationships/printerSettings" Target="../printerSettings/printerSettings2.bin"/><Relationship Id="rId10" Type="http://schemas.openxmlformats.org/officeDocument/2006/relationships/hyperlink" Target="mailto:fariba.alavi@hp.com" TargetMode="External"/><Relationship Id="rId4" Type="http://schemas.openxmlformats.org/officeDocument/2006/relationships/hyperlink" Target="mailto:ronnie.falgout@hp.com" TargetMode="External"/><Relationship Id="rId9" Type="http://schemas.openxmlformats.org/officeDocument/2006/relationships/hyperlink" Target="mailto:fariba.alavi@hp.com" TargetMode="External"/><Relationship Id="rId14" Type="http://schemas.openxmlformats.org/officeDocument/2006/relationships/hyperlink" Target="mailto:ronnie.falgout@hp.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tom.grant@hp.com" TargetMode="External"/><Relationship Id="rId13" Type="http://schemas.openxmlformats.org/officeDocument/2006/relationships/hyperlink" Target="mailto:fariba.alavi@hp.com" TargetMode="External"/><Relationship Id="rId3" Type="http://schemas.openxmlformats.org/officeDocument/2006/relationships/hyperlink" Target="mailto:fariba.alavi@hp.com" TargetMode="External"/><Relationship Id="rId7" Type="http://schemas.openxmlformats.org/officeDocument/2006/relationships/hyperlink" Target="mailto:kirk.duwe@hp.com" TargetMode="External"/><Relationship Id="rId12" Type="http://schemas.openxmlformats.org/officeDocument/2006/relationships/hyperlink" Target="mailto:you@hp.com" TargetMode="External"/><Relationship Id="rId17" Type="http://schemas.openxmlformats.org/officeDocument/2006/relationships/comments" Target="../comments4.xml"/><Relationship Id="rId2" Type="http://schemas.openxmlformats.org/officeDocument/2006/relationships/hyperlink" Target="http://apate.corp.hp.com/" TargetMode="External"/><Relationship Id="rId16" Type="http://schemas.openxmlformats.org/officeDocument/2006/relationships/vmlDrawing" Target="../drawings/vmlDrawing4.vml"/><Relationship Id="rId1" Type="http://schemas.openxmlformats.org/officeDocument/2006/relationships/hyperlink" Target="mailto:tom.grant@hp.com" TargetMode="External"/><Relationship Id="rId6" Type="http://schemas.openxmlformats.org/officeDocument/2006/relationships/hyperlink" Target="mailto:tom.grant@hp.com" TargetMode="External"/><Relationship Id="rId11" Type="http://schemas.openxmlformats.org/officeDocument/2006/relationships/hyperlink" Target="mailto:beau.brown@hp.com" TargetMode="External"/><Relationship Id="rId5" Type="http://schemas.openxmlformats.org/officeDocument/2006/relationships/hyperlink" Target="mailto:beau.brown@hp.com" TargetMode="External"/><Relationship Id="rId15" Type="http://schemas.openxmlformats.org/officeDocument/2006/relationships/drawing" Target="../drawings/drawing3.xml"/><Relationship Id="rId10" Type="http://schemas.openxmlformats.org/officeDocument/2006/relationships/hyperlink" Target="mailto:fariba.alavi@hp.com" TargetMode="External"/><Relationship Id="rId4" Type="http://schemas.openxmlformats.org/officeDocument/2006/relationships/hyperlink" Target="mailto:ronnie.falgout@hp.com" TargetMode="External"/><Relationship Id="rId9" Type="http://schemas.openxmlformats.org/officeDocument/2006/relationships/hyperlink" Target="mailto:tom.grant@hp.com"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sheetPr codeName="Sheet1">
    <pageSetUpPr fitToPage="1"/>
  </sheetPr>
  <dimension ref="B1:D66"/>
  <sheetViews>
    <sheetView zoomScale="85" zoomScaleNormal="85" workbookViewId="0"/>
  </sheetViews>
  <sheetFormatPr defaultRowHeight="14.25"/>
  <cols>
    <col min="1" max="1" width="4.7109375" style="11" customWidth="1"/>
    <col min="2" max="2" width="17.42578125" style="11" customWidth="1"/>
    <col min="3" max="3" width="177.28515625" style="11" customWidth="1"/>
    <col min="4" max="4" width="9.140625" style="11"/>
    <col min="5" max="5" width="45.5703125" style="11" bestFit="1" customWidth="1"/>
    <col min="6" max="6" width="77.85546875" style="11" customWidth="1"/>
    <col min="7" max="7" width="76.5703125" style="11" customWidth="1"/>
    <col min="8" max="16384" width="9.140625" style="11"/>
  </cols>
  <sheetData>
    <row r="1" spans="2:3" ht="13.5" customHeight="1" thickBot="1"/>
    <row r="2" spans="2:3" ht="55.5" customHeight="1">
      <c r="B2" s="247" t="s">
        <v>333</v>
      </c>
      <c r="C2" s="248"/>
    </row>
    <row r="3" spans="2:3" ht="15.75" customHeight="1">
      <c r="B3" s="249" t="s">
        <v>28</v>
      </c>
      <c r="C3" s="250"/>
    </row>
    <row r="4" spans="2:3" ht="30.75" customHeight="1">
      <c r="B4" s="251" t="s">
        <v>334</v>
      </c>
      <c r="C4" s="250"/>
    </row>
    <row r="5" spans="2:3">
      <c r="B5" s="252" t="s">
        <v>50</v>
      </c>
      <c r="C5" s="253"/>
    </row>
    <row r="6" spans="2:3" ht="33" customHeight="1">
      <c r="B6" s="254" t="s">
        <v>304</v>
      </c>
      <c r="C6" s="250"/>
    </row>
    <row r="7" spans="2:3" ht="14.25" customHeight="1">
      <c r="B7" s="252"/>
      <c r="C7" s="253"/>
    </row>
    <row r="8" spans="2:3" ht="19.5" customHeight="1">
      <c r="B8" s="207" t="s">
        <v>354</v>
      </c>
      <c r="C8" s="208"/>
    </row>
    <row r="9" spans="2:3" ht="19.5" customHeight="1" thickBot="1">
      <c r="B9" s="255"/>
      <c r="C9" s="256"/>
    </row>
    <row r="10" spans="2:3" ht="5.25" customHeight="1">
      <c r="B10" s="21"/>
      <c r="C10" s="12"/>
    </row>
    <row r="11" spans="2:3" ht="11.25" customHeight="1" thickBot="1">
      <c r="B11" s="22"/>
      <c r="C11" s="12"/>
    </row>
    <row r="12" spans="2:3" ht="3.75" customHeight="1">
      <c r="B12" s="257" t="s">
        <v>49</v>
      </c>
      <c r="C12" s="248"/>
    </row>
    <row r="13" spans="2:3" ht="36" customHeight="1">
      <c r="B13" s="226" t="s">
        <v>34</v>
      </c>
      <c r="C13" s="227"/>
    </row>
    <row r="14" spans="2:3" ht="20.25" customHeight="1">
      <c r="B14" s="228" t="s">
        <v>315</v>
      </c>
      <c r="C14" s="227"/>
    </row>
    <row r="15" spans="2:3" ht="20.25" customHeight="1">
      <c r="B15" s="228" t="s">
        <v>316</v>
      </c>
      <c r="C15" s="227"/>
    </row>
    <row r="16" spans="2:3" ht="20.25" customHeight="1">
      <c r="B16" s="228" t="s">
        <v>308</v>
      </c>
      <c r="C16" s="227"/>
    </row>
    <row r="17" spans="2:3" ht="20.25" customHeight="1">
      <c r="B17" s="228" t="s">
        <v>309</v>
      </c>
      <c r="C17" s="227"/>
    </row>
    <row r="18" spans="2:3" ht="20.25" customHeight="1">
      <c r="B18" s="230" t="s">
        <v>307</v>
      </c>
      <c r="C18" s="227"/>
    </row>
    <row r="19" spans="2:3" ht="20.25" customHeight="1">
      <c r="B19" s="230" t="s">
        <v>59</v>
      </c>
      <c r="C19" s="227"/>
    </row>
    <row r="20" spans="2:3" ht="20.25" customHeight="1">
      <c r="B20" s="230" t="s">
        <v>305</v>
      </c>
      <c r="C20" s="227"/>
    </row>
    <row r="21" spans="2:3" ht="20.25" customHeight="1">
      <c r="B21" s="230" t="s">
        <v>306</v>
      </c>
      <c r="C21" s="227"/>
    </row>
    <row r="22" spans="2:3" ht="39.75" customHeight="1">
      <c r="B22" s="228" t="s">
        <v>310</v>
      </c>
      <c r="C22" s="227"/>
    </row>
    <row r="23" spans="2:3" ht="23.25" customHeight="1">
      <c r="B23" s="55"/>
      <c r="C23" s="56"/>
    </row>
    <row r="24" spans="2:3" ht="14.25" customHeight="1" thickBot="1">
      <c r="B24" s="58"/>
      <c r="C24" s="57"/>
    </row>
    <row r="25" spans="2:3" ht="15" thickBot="1">
      <c r="B25" s="229"/>
      <c r="C25" s="229"/>
    </row>
    <row r="26" spans="2:3" ht="21.75" customHeight="1">
      <c r="B26" s="257" t="s">
        <v>156</v>
      </c>
      <c r="C26" s="258"/>
    </row>
    <row r="27" spans="2:3" ht="20.25" customHeight="1">
      <c r="B27" s="216" t="s">
        <v>157</v>
      </c>
      <c r="C27" s="217"/>
    </row>
    <row r="28" spans="2:3" ht="20.25" customHeight="1">
      <c r="B28" s="224" t="s">
        <v>321</v>
      </c>
      <c r="C28" s="225"/>
    </row>
    <row r="29" spans="2:3" ht="18">
      <c r="B29" s="209" t="s">
        <v>317</v>
      </c>
      <c r="C29" s="213"/>
    </row>
    <row r="30" spans="2:3" ht="18">
      <c r="B30" s="99"/>
      <c r="C30" s="100"/>
    </row>
    <row r="31" spans="2:3" ht="18">
      <c r="B31" s="216" t="s">
        <v>283</v>
      </c>
      <c r="C31" s="217"/>
    </row>
    <row r="32" spans="2:3" ht="18">
      <c r="B32" s="209" t="s">
        <v>325</v>
      </c>
      <c r="C32" s="213"/>
    </row>
    <row r="33" spans="2:3" ht="18">
      <c r="B33" s="209" t="s">
        <v>318</v>
      </c>
      <c r="C33" s="213"/>
    </row>
    <row r="34" spans="2:3" ht="18">
      <c r="B34" s="220" t="s">
        <v>158</v>
      </c>
      <c r="C34" s="221"/>
    </row>
    <row r="35" spans="2:3" ht="18">
      <c r="B35" s="220" t="s">
        <v>159</v>
      </c>
      <c r="C35" s="221"/>
    </row>
    <row r="36" spans="2:3" ht="18">
      <c r="B36" s="220" t="s">
        <v>323</v>
      </c>
      <c r="C36" s="221"/>
    </row>
    <row r="37" spans="2:3" ht="18">
      <c r="B37" s="222"/>
      <c r="C37" s="223"/>
    </row>
    <row r="38" spans="2:3" ht="18">
      <c r="B38" s="218" t="s">
        <v>322</v>
      </c>
      <c r="C38" s="219"/>
    </row>
    <row r="39" spans="2:3" ht="18">
      <c r="B39" s="211" t="s">
        <v>195</v>
      </c>
      <c r="C39" s="212"/>
    </row>
    <row r="40" spans="2:3" ht="18">
      <c r="B40" s="211" t="s">
        <v>211</v>
      </c>
      <c r="C40" s="212"/>
    </row>
    <row r="41" spans="2:3" ht="18">
      <c r="B41" s="211" t="s">
        <v>314</v>
      </c>
      <c r="C41" s="212"/>
    </row>
    <row r="42" spans="2:3" ht="18">
      <c r="B42" s="209" t="s">
        <v>319</v>
      </c>
      <c r="C42" s="210"/>
    </row>
    <row r="43" spans="2:3" ht="18">
      <c r="B43" s="101"/>
      <c r="C43" s="102"/>
    </row>
    <row r="44" spans="2:3" ht="18">
      <c r="B44" s="216" t="s">
        <v>160</v>
      </c>
      <c r="C44" s="217"/>
    </row>
    <row r="45" spans="2:3" ht="18">
      <c r="B45" s="209" t="s">
        <v>200</v>
      </c>
      <c r="C45" s="213"/>
    </row>
    <row r="46" spans="2:3" ht="18">
      <c r="B46" s="209" t="s">
        <v>324</v>
      </c>
      <c r="C46" s="210"/>
    </row>
    <row r="47" spans="2:3" ht="18">
      <c r="B47" s="209" t="s">
        <v>320</v>
      </c>
      <c r="C47" s="213"/>
    </row>
    <row r="48" spans="2:3" ht="18.75" thickBot="1">
      <c r="B48" s="214"/>
      <c r="C48" s="215"/>
    </row>
    <row r="49" spans="2:4" ht="15" thickBot="1"/>
    <row r="50" spans="2:4" ht="18">
      <c r="B50" s="244" t="s">
        <v>164</v>
      </c>
      <c r="C50" s="92" t="s">
        <v>165</v>
      </c>
    </row>
    <row r="51" spans="2:4" ht="18">
      <c r="B51" s="245"/>
      <c r="C51" s="93" t="s">
        <v>166</v>
      </c>
    </row>
    <row r="52" spans="2:4" ht="18.75" thickBot="1">
      <c r="B52" s="246"/>
      <c r="C52" s="94" t="s">
        <v>167</v>
      </c>
    </row>
    <row r="53" spans="2:4" ht="15" thickBot="1"/>
    <row r="54" spans="2:4" ht="20.25">
      <c r="B54" s="231" t="s">
        <v>219</v>
      </c>
      <c r="C54" s="232"/>
      <c r="D54" s="233"/>
    </row>
    <row r="55" spans="2:4">
      <c r="B55" s="234" t="s">
        <v>326</v>
      </c>
      <c r="C55" s="235"/>
      <c r="D55" s="236"/>
    </row>
    <row r="56" spans="2:4">
      <c r="B56" s="237"/>
      <c r="C56" s="238"/>
      <c r="D56" s="236"/>
    </row>
    <row r="57" spans="2:4">
      <c r="B57" s="237"/>
      <c r="C57" s="238"/>
      <c r="D57" s="236"/>
    </row>
    <row r="58" spans="2:4">
      <c r="B58" s="237"/>
      <c r="C58" s="238"/>
      <c r="D58" s="236"/>
    </row>
    <row r="59" spans="2:4">
      <c r="B59" s="237"/>
      <c r="C59" s="238"/>
      <c r="D59" s="236"/>
    </row>
    <row r="60" spans="2:4" ht="15" thickBot="1">
      <c r="B60" s="239"/>
      <c r="C60" s="240"/>
      <c r="D60" s="241"/>
    </row>
    <row r="61" spans="2:4" ht="21" thickBot="1">
      <c r="B61" s="193"/>
      <c r="C61" s="193"/>
      <c r="D61" s="193"/>
    </row>
    <row r="62" spans="2:4" ht="63.75" thickBot="1">
      <c r="B62" s="194" t="s">
        <v>212</v>
      </c>
      <c r="C62" s="195" t="s">
        <v>213</v>
      </c>
      <c r="D62" s="195" t="s">
        <v>214</v>
      </c>
    </row>
    <row r="63" spans="2:4" ht="63.75" thickBot="1">
      <c r="B63" s="196" t="s">
        <v>223</v>
      </c>
      <c r="C63" s="197" t="s">
        <v>215</v>
      </c>
      <c r="D63" s="198" t="s">
        <v>216</v>
      </c>
    </row>
    <row r="64" spans="2:4" ht="63.75" thickBot="1">
      <c r="B64" s="196" t="s">
        <v>224</v>
      </c>
      <c r="C64" s="197" t="s">
        <v>217</v>
      </c>
      <c r="D64" s="198" t="s">
        <v>218</v>
      </c>
    </row>
    <row r="65" spans="2:4">
      <c r="B65"/>
      <c r="C65"/>
      <c r="D65"/>
    </row>
    <row r="66" spans="2:4">
      <c r="B66" s="242" t="s">
        <v>220</v>
      </c>
      <c r="C66" s="243"/>
      <c r="D66" s="243"/>
    </row>
  </sheetData>
  <sheetProtection sheet="1" objects="1" scenarios="1"/>
  <mergeCells count="45">
    <mergeCell ref="B54:D54"/>
    <mergeCell ref="B55:D60"/>
    <mergeCell ref="B66:D66"/>
    <mergeCell ref="B50:B52"/>
    <mergeCell ref="B2:C2"/>
    <mergeCell ref="B3:C3"/>
    <mergeCell ref="B4:C4"/>
    <mergeCell ref="B5:C5"/>
    <mergeCell ref="B16:C16"/>
    <mergeCell ref="B17:C17"/>
    <mergeCell ref="B6:C6"/>
    <mergeCell ref="B7:C7"/>
    <mergeCell ref="B15:C15"/>
    <mergeCell ref="B9:C9"/>
    <mergeCell ref="B12:C12"/>
    <mergeCell ref="B26:C26"/>
    <mergeCell ref="B13:C13"/>
    <mergeCell ref="B14:C14"/>
    <mergeCell ref="B25:C25"/>
    <mergeCell ref="B18:C18"/>
    <mergeCell ref="B19:C19"/>
    <mergeCell ref="B20:C20"/>
    <mergeCell ref="B21:C21"/>
    <mergeCell ref="B22:C22"/>
    <mergeCell ref="B31:C31"/>
    <mergeCell ref="B32:C32"/>
    <mergeCell ref="B27:C27"/>
    <mergeCell ref="B28:C28"/>
    <mergeCell ref="B29:C29"/>
    <mergeCell ref="B8:C8"/>
    <mergeCell ref="B42:C42"/>
    <mergeCell ref="B39:C39"/>
    <mergeCell ref="B47:C47"/>
    <mergeCell ref="B48:C48"/>
    <mergeCell ref="B44:C44"/>
    <mergeCell ref="B45:C45"/>
    <mergeCell ref="B40:C40"/>
    <mergeCell ref="B46:C46"/>
    <mergeCell ref="B41:C41"/>
    <mergeCell ref="B38:C38"/>
    <mergeCell ref="B34:C34"/>
    <mergeCell ref="B35:C35"/>
    <mergeCell ref="B33:C33"/>
    <mergeCell ref="B37:C37"/>
    <mergeCell ref="B36:C36"/>
  </mergeCells>
  <phoneticPr fontId="5" type="noConversion"/>
  <hyperlinks>
    <hyperlink ref="C63" r:id="rId1" display="mailto:ITMSBACITIO001@americas.hpqcorp.net"/>
    <hyperlink ref="C64" r:id="rId2" display="mailto:ITMSBACITIO002@americas.hpqcorp.net"/>
    <hyperlink ref="B66" r:id="rId3"/>
  </hyperlinks>
  <pageMargins left="0.75" right="0.75" top="1" bottom="1" header="0.5" footer="0.5"/>
  <pageSetup scale="62" orientation="portrait" horizontalDpi="300" verticalDpi="300" r:id="rId4"/>
  <headerFooter alignWithMargins="0"/>
  <drawing r:id="rId5"/>
</worksheet>
</file>

<file path=xl/worksheets/sheet2.xml><?xml version="1.0" encoding="utf-8"?>
<worksheet xmlns="http://schemas.openxmlformats.org/spreadsheetml/2006/main" xmlns:r="http://schemas.openxmlformats.org/officeDocument/2006/relationships">
  <sheetPr codeName="Sheet2">
    <pageSetUpPr fitToPage="1"/>
  </sheetPr>
  <dimension ref="A1:AE84"/>
  <sheetViews>
    <sheetView tabSelected="1" topLeftCell="A7" zoomScale="80" zoomScaleNormal="80" workbookViewId="0">
      <selection activeCell="C12" sqref="C12:C13"/>
    </sheetView>
  </sheetViews>
  <sheetFormatPr defaultRowHeight="12.75"/>
  <cols>
    <col min="1" max="1" width="6" style="7" customWidth="1"/>
    <col min="2" max="2" width="42.7109375" style="7" bestFit="1" customWidth="1"/>
    <col min="3" max="3" width="50.28515625" style="7" customWidth="1"/>
    <col min="4" max="4" width="7" style="7" customWidth="1"/>
    <col min="5" max="5" width="4.42578125" style="7" customWidth="1"/>
    <col min="6" max="6" width="34.5703125" style="3" customWidth="1"/>
    <col min="7" max="7" width="41.7109375" style="7" bestFit="1" customWidth="1"/>
    <col min="8" max="8" width="9.85546875" style="7" customWidth="1"/>
    <col min="9" max="9" width="11.28515625" style="7" customWidth="1"/>
    <col min="10" max="10" width="5.7109375" style="7" bestFit="1" customWidth="1"/>
    <col min="11" max="11" width="9.85546875" style="7" customWidth="1"/>
    <col min="12" max="12" width="20" style="7" hidden="1" customWidth="1"/>
    <col min="13" max="13" width="22.85546875" style="7" hidden="1" customWidth="1"/>
    <col min="14" max="14" width="42.140625" style="7" hidden="1" customWidth="1"/>
    <col min="15" max="15" width="31.5703125" style="7" hidden="1" customWidth="1"/>
    <col min="16" max="16" width="15.140625" style="7" hidden="1" customWidth="1"/>
    <col min="17" max="17" width="53.85546875" style="7" hidden="1" customWidth="1"/>
    <col min="18" max="18" width="15.140625" style="7" hidden="1" customWidth="1"/>
    <col min="19" max="19" width="44.140625" style="7" hidden="1" customWidth="1"/>
    <col min="20" max="20" width="19.85546875" style="7" hidden="1" customWidth="1"/>
    <col min="21" max="21" width="44.140625" style="7" hidden="1" customWidth="1"/>
    <col min="22" max="22" width="39.140625" style="7" hidden="1" customWidth="1"/>
    <col min="23" max="23" width="29" style="7" hidden="1" customWidth="1"/>
    <col min="24" max="24" width="18.85546875" style="7" hidden="1" customWidth="1"/>
    <col min="25" max="25" width="18.140625" style="7" hidden="1" customWidth="1"/>
    <col min="26" max="26" width="15.85546875" style="7" customWidth="1"/>
    <col min="27" max="16384" width="9.140625" style="7"/>
  </cols>
  <sheetData>
    <row r="1" spans="1:25" ht="28.5" customHeight="1" thickBot="1">
      <c r="A1" s="34"/>
      <c r="B1" s="69" t="s">
        <v>164</v>
      </c>
      <c r="C1" s="280" t="s">
        <v>165</v>
      </c>
      <c r="D1" s="281"/>
      <c r="E1" s="282"/>
      <c r="F1" s="144" t="s">
        <v>166</v>
      </c>
      <c r="G1" s="68" t="s">
        <v>167</v>
      </c>
      <c r="H1" s="34"/>
      <c r="I1" s="34"/>
      <c r="J1" s="34"/>
      <c r="K1" s="34"/>
    </row>
    <row r="2" spans="1:25" ht="12" customHeight="1" thickBot="1">
      <c r="A2" s="34"/>
      <c r="H2" s="34"/>
      <c r="I2" s="34"/>
      <c r="J2" s="34"/>
      <c r="K2" s="34"/>
    </row>
    <row r="3" spans="1:25" ht="24.75" customHeight="1" thickBot="1">
      <c r="A3" s="34"/>
      <c r="B3" s="247" t="s">
        <v>72</v>
      </c>
      <c r="C3" s="286"/>
      <c r="D3" s="286"/>
      <c r="E3" s="286"/>
      <c r="F3" s="286"/>
      <c r="G3" s="287"/>
      <c r="H3" s="40"/>
      <c r="I3" s="34"/>
      <c r="J3" s="34"/>
      <c r="K3" s="34"/>
      <c r="L3" s="7" t="s">
        <v>204</v>
      </c>
    </row>
    <row r="4" spans="1:25" ht="12.75" customHeight="1" thickBot="1">
      <c r="A4" s="34"/>
      <c r="B4" s="296" t="s">
        <v>376</v>
      </c>
      <c r="C4" s="297"/>
      <c r="D4" s="297"/>
      <c r="E4" s="297"/>
      <c r="F4" s="297"/>
      <c r="G4" s="298"/>
      <c r="H4" s="40"/>
      <c r="I4" s="34"/>
      <c r="J4" s="34"/>
      <c r="K4" s="34"/>
      <c r="L4" s="2" t="s">
        <v>201</v>
      </c>
    </row>
    <row r="5" spans="1:25" ht="9.75" customHeight="1" thickBot="1">
      <c r="A5" s="34"/>
      <c r="B5" s="288" t="s">
        <v>73</v>
      </c>
      <c r="C5" s="289"/>
      <c r="D5" s="289"/>
      <c r="E5" s="289"/>
      <c r="F5" s="289"/>
      <c r="G5" s="290"/>
      <c r="H5" s="40"/>
      <c r="I5" s="34"/>
      <c r="J5" s="34"/>
      <c r="K5" s="34"/>
      <c r="L5" s="2" t="s">
        <v>202</v>
      </c>
    </row>
    <row r="6" spans="1:25" ht="12.75" customHeight="1" thickBot="1">
      <c r="A6" s="34"/>
      <c r="B6" s="288"/>
      <c r="C6" s="289"/>
      <c r="D6" s="289"/>
      <c r="E6" s="289"/>
      <c r="F6" s="289"/>
      <c r="G6" s="290"/>
      <c r="H6" s="40"/>
      <c r="I6" s="34"/>
      <c r="J6" s="34"/>
      <c r="K6" s="34"/>
      <c r="L6" s="2" t="s">
        <v>203</v>
      </c>
    </row>
    <row r="7" spans="1:25" ht="25.5" customHeight="1" thickBot="1">
      <c r="A7" s="34"/>
      <c r="B7" s="291"/>
      <c r="C7" s="292"/>
      <c r="D7" s="292"/>
      <c r="E7" s="292"/>
      <c r="F7" s="292"/>
      <c r="G7" s="293"/>
      <c r="H7" s="40"/>
      <c r="I7" s="34"/>
      <c r="J7" s="34"/>
      <c r="K7" s="34"/>
      <c r="L7" s="2"/>
    </row>
    <row r="8" spans="1:25" ht="33" customHeight="1" thickBot="1">
      <c r="A8" s="34"/>
      <c r="B8" s="302" t="s">
        <v>190</v>
      </c>
      <c r="C8" s="303"/>
      <c r="D8" s="37"/>
      <c r="E8" s="283" t="s">
        <v>191</v>
      </c>
      <c r="F8" s="284"/>
      <c r="G8" s="285"/>
      <c r="H8" s="40"/>
      <c r="I8" s="34"/>
      <c r="J8" s="34"/>
      <c r="K8" s="34"/>
      <c r="L8" s="2"/>
    </row>
    <row r="9" spans="1:25" ht="14.25" customHeight="1" thickBot="1">
      <c r="A9" s="34"/>
      <c r="B9" s="148"/>
      <c r="C9" s="149"/>
      <c r="D9" s="149"/>
      <c r="E9" s="150"/>
      <c r="F9" s="149"/>
      <c r="G9" s="151"/>
      <c r="H9" s="152"/>
      <c r="I9" s="149"/>
      <c r="J9" s="149"/>
      <c r="K9" s="34"/>
      <c r="L9" s="97" t="s">
        <v>313</v>
      </c>
      <c r="M9" s="96" t="s">
        <v>312</v>
      </c>
      <c r="N9" s="96"/>
      <c r="O9" s="96"/>
      <c r="P9" s="96"/>
      <c r="Q9" s="140" t="s">
        <v>335</v>
      </c>
      <c r="R9" s="140" t="s">
        <v>336</v>
      </c>
      <c r="S9" s="23"/>
      <c r="T9" s="23"/>
      <c r="U9" s="23" t="s">
        <v>79</v>
      </c>
      <c r="V9" s="59" t="s">
        <v>248</v>
      </c>
      <c r="W9" s="96" t="s">
        <v>252</v>
      </c>
      <c r="X9" s="96" t="s">
        <v>259</v>
      </c>
      <c r="Y9" s="96" t="s">
        <v>311</v>
      </c>
    </row>
    <row r="10" spans="1:25" ht="15.75" thickBot="1">
      <c r="A10" s="34"/>
      <c r="B10" s="148"/>
      <c r="C10" s="149"/>
      <c r="D10" s="149"/>
      <c r="E10" s="150"/>
      <c r="F10" s="153" t="s">
        <v>2</v>
      </c>
      <c r="G10" s="154"/>
      <c r="H10" s="152"/>
      <c r="I10" s="149"/>
      <c r="J10" s="149"/>
      <c r="K10" s="34"/>
      <c r="L10" s="2"/>
      <c r="Q10" s="141" t="s">
        <v>337</v>
      </c>
      <c r="R10" s="141" t="s">
        <v>227</v>
      </c>
      <c r="S10" s="7" t="s">
        <v>235</v>
      </c>
      <c r="T10" s="205" t="s">
        <v>242</v>
      </c>
      <c r="U10" s="23"/>
    </row>
    <row r="11" spans="1:25" ht="15" customHeight="1" thickBot="1">
      <c r="A11" s="34"/>
      <c r="B11" s="153" t="s">
        <v>32</v>
      </c>
      <c r="C11" s="154"/>
      <c r="D11" s="149"/>
      <c r="E11" s="150"/>
      <c r="F11" s="155" t="s">
        <v>184</v>
      </c>
      <c r="G11" s="156"/>
      <c r="H11" s="152"/>
      <c r="I11" s="149"/>
      <c r="J11" s="149"/>
      <c r="K11" s="34"/>
      <c r="L11" s="35"/>
      <c r="M11" s="7" t="s">
        <v>161</v>
      </c>
      <c r="P11" s="47"/>
      <c r="Q11" s="141" t="s">
        <v>338</v>
      </c>
      <c r="R11" s="141" t="s">
        <v>136</v>
      </c>
      <c r="S11" s="7" t="s">
        <v>231</v>
      </c>
      <c r="T11" s="205" t="s">
        <v>238</v>
      </c>
      <c r="U11"/>
    </row>
    <row r="12" spans="1:25" ht="15" customHeight="1" thickBot="1">
      <c r="A12" s="34"/>
      <c r="B12" s="157" t="s">
        <v>176</v>
      </c>
      <c r="C12" s="304"/>
      <c r="D12" s="149"/>
      <c r="E12" s="150"/>
      <c r="F12" s="157" t="s">
        <v>151</v>
      </c>
      <c r="G12" s="145"/>
      <c r="H12" s="152"/>
      <c r="I12" s="149"/>
      <c r="J12" s="149"/>
      <c r="K12" s="34"/>
      <c r="L12" s="35"/>
      <c r="M12" s="7" t="s">
        <v>162</v>
      </c>
      <c r="P12" s="47"/>
      <c r="Q12" s="142" t="s">
        <v>339</v>
      </c>
      <c r="R12" s="142" t="s">
        <v>135</v>
      </c>
      <c r="S12" s="7" t="s">
        <v>231</v>
      </c>
      <c r="T12" s="139" t="s">
        <v>238</v>
      </c>
      <c r="U12" t="s">
        <v>81</v>
      </c>
      <c r="V12" s="7" t="s">
        <v>249</v>
      </c>
      <c r="W12" s="3" t="s">
        <v>64</v>
      </c>
      <c r="X12" s="7" t="s">
        <v>253</v>
      </c>
      <c r="Y12" s="7" t="s">
        <v>245</v>
      </c>
    </row>
    <row r="13" spans="1:25" ht="15" customHeight="1" thickBot="1">
      <c r="A13" s="34"/>
      <c r="B13" s="157"/>
      <c r="C13" s="305"/>
      <c r="D13" s="149"/>
      <c r="E13" s="150"/>
      <c r="F13" s="157" t="s">
        <v>61</v>
      </c>
      <c r="G13" s="158"/>
      <c r="H13" s="152"/>
      <c r="I13" s="149"/>
      <c r="J13" s="149"/>
      <c r="K13" s="34"/>
      <c r="L13" s="35"/>
      <c r="M13" s="7" t="s">
        <v>163</v>
      </c>
      <c r="P13" s="98"/>
      <c r="Q13" s="141" t="s">
        <v>340</v>
      </c>
      <c r="R13" s="141" t="s">
        <v>341</v>
      </c>
      <c r="S13" s="7" t="s">
        <v>231</v>
      </c>
      <c r="T13" s="205" t="s">
        <v>238</v>
      </c>
      <c r="U13" t="s">
        <v>82</v>
      </c>
      <c r="V13" s="7" t="s">
        <v>250</v>
      </c>
      <c r="W13" s="3" t="s">
        <v>185</v>
      </c>
      <c r="X13" s="7" t="s">
        <v>254</v>
      </c>
      <c r="Y13" s="7" t="s">
        <v>51</v>
      </c>
    </row>
    <row r="14" spans="1:25" ht="15.75" thickBot="1">
      <c r="A14" s="34"/>
      <c r="B14" s="157" t="s">
        <v>33</v>
      </c>
      <c r="C14" s="145" t="s">
        <v>327</v>
      </c>
      <c r="D14" s="149"/>
      <c r="E14" s="150"/>
      <c r="F14" s="159" t="s">
        <v>188</v>
      </c>
      <c r="G14" s="158"/>
      <c r="H14" s="152"/>
      <c r="I14" s="149"/>
      <c r="J14" s="149"/>
      <c r="K14" s="34"/>
      <c r="L14" s="35"/>
      <c r="P14" s="47"/>
      <c r="Q14" s="142" t="s">
        <v>342</v>
      </c>
      <c r="R14" s="142" t="s">
        <v>137</v>
      </c>
      <c r="S14" s="7" t="s">
        <v>231</v>
      </c>
      <c r="T14" s="205" t="s">
        <v>238</v>
      </c>
      <c r="U14" t="s">
        <v>83</v>
      </c>
      <c r="V14" s="7" t="s">
        <v>251</v>
      </c>
      <c r="W14" s="3" t="s">
        <v>186</v>
      </c>
      <c r="X14" s="7" t="s">
        <v>255</v>
      </c>
      <c r="Y14" s="7" t="s">
        <v>52</v>
      </c>
    </row>
    <row r="15" spans="1:25" ht="26.25" thickBot="1">
      <c r="A15" s="34"/>
      <c r="B15" s="157" t="s">
        <v>0</v>
      </c>
      <c r="C15" s="146" t="s">
        <v>329</v>
      </c>
      <c r="D15" s="149"/>
      <c r="E15" s="150"/>
      <c r="F15" s="299" t="s">
        <v>68</v>
      </c>
      <c r="G15" s="300"/>
      <c r="H15" s="152"/>
      <c r="I15" s="149"/>
      <c r="J15" s="149"/>
      <c r="K15" s="34"/>
      <c r="L15" s="35"/>
      <c r="P15" s="47"/>
      <c r="Q15" s="141" t="s">
        <v>343</v>
      </c>
      <c r="R15" s="141" t="s">
        <v>142</v>
      </c>
      <c r="S15" s="7" t="s">
        <v>236</v>
      </c>
      <c r="T15" s="139" t="s">
        <v>243</v>
      </c>
      <c r="U15"/>
      <c r="W15" s="3" t="s">
        <v>187</v>
      </c>
      <c r="X15" s="7" t="s">
        <v>256</v>
      </c>
      <c r="Y15" s="7" t="s">
        <v>246</v>
      </c>
    </row>
    <row r="16" spans="1:25" ht="26.25" thickBot="1">
      <c r="A16" s="34"/>
      <c r="B16" s="160" t="s">
        <v>1</v>
      </c>
      <c r="C16" s="147" t="s">
        <v>328</v>
      </c>
      <c r="D16" s="149"/>
      <c r="E16" s="150"/>
      <c r="F16" s="299"/>
      <c r="G16" s="301"/>
      <c r="H16" s="152"/>
      <c r="I16" s="149"/>
      <c r="J16" s="149"/>
      <c r="K16" s="34"/>
      <c r="L16" s="7">
        <f>C19</f>
        <v>0</v>
      </c>
      <c r="P16" s="47"/>
      <c r="Q16" s="141" t="s">
        <v>344</v>
      </c>
      <c r="R16" s="141" t="s">
        <v>139</v>
      </c>
      <c r="S16" s="7" t="s">
        <v>234</v>
      </c>
      <c r="T16" s="139" t="s">
        <v>241</v>
      </c>
      <c r="U16"/>
      <c r="W16" s="3" t="s">
        <v>65</v>
      </c>
      <c r="X16" s="7" t="s">
        <v>261</v>
      </c>
    </row>
    <row r="17" spans="1:24" ht="15.75" thickBot="1">
      <c r="A17" s="34"/>
      <c r="B17" s="161"/>
      <c r="C17" s="162"/>
      <c r="D17" s="149"/>
      <c r="E17" s="150"/>
      <c r="F17" s="159" t="s">
        <v>152</v>
      </c>
      <c r="G17" s="158"/>
      <c r="H17" s="152"/>
      <c r="I17" s="149"/>
      <c r="J17" s="149"/>
      <c r="K17" s="34"/>
      <c r="L17" s="7">
        <v>0</v>
      </c>
      <c r="P17" s="47"/>
      <c r="Q17" s="141" t="s">
        <v>345</v>
      </c>
      <c r="R17" s="141" t="s">
        <v>135</v>
      </c>
      <c r="S17" s="7" t="s">
        <v>231</v>
      </c>
      <c r="T17" s="139" t="s">
        <v>238</v>
      </c>
      <c r="U17"/>
      <c r="W17" s="3" t="s">
        <v>66</v>
      </c>
      <c r="X17" s="7" t="s">
        <v>257</v>
      </c>
    </row>
    <row r="18" spans="1:24" ht="32.25" customHeight="1" thickBot="1">
      <c r="A18" s="34"/>
      <c r="B18" s="153" t="s">
        <v>182</v>
      </c>
      <c r="C18" s="163"/>
      <c r="D18" s="149"/>
      <c r="E18" s="150"/>
      <c r="F18" s="164" t="s">
        <v>352</v>
      </c>
      <c r="G18" s="165"/>
      <c r="H18" s="152"/>
      <c r="I18" s="149"/>
      <c r="J18" s="149"/>
      <c r="K18" s="34"/>
      <c r="L18" s="7" t="e">
        <f>IF(RIGHT(L17,3)=":V1",MID(MID(L17,1,LEN(L17)-3),FIND(":",L156,1)+1,256),MID(L17,FIND(":",L17,1)+1,256))</f>
        <v>#VALUE!</v>
      </c>
      <c r="M18" s="7" t="s">
        <v>69</v>
      </c>
      <c r="P18" s="47"/>
      <c r="Q18" s="141" t="s">
        <v>346</v>
      </c>
      <c r="R18" s="141" t="s">
        <v>347</v>
      </c>
      <c r="S18" s="7" t="s">
        <v>236</v>
      </c>
      <c r="T18" s="205" t="s">
        <v>243</v>
      </c>
      <c r="U18" t="s">
        <v>85</v>
      </c>
      <c r="W18" s="3" t="s">
        <v>221</v>
      </c>
      <c r="X18" s="7" t="s">
        <v>258</v>
      </c>
    </row>
    <row r="19" spans="1:24" ht="57" customHeight="1" thickBot="1">
      <c r="A19" s="34"/>
      <c r="B19" s="166" t="s">
        <v>353</v>
      </c>
      <c r="C19" s="167"/>
      <c r="D19" s="149"/>
      <c r="E19" s="150"/>
      <c r="F19" s="168" t="s">
        <v>226</v>
      </c>
      <c r="G19" s="169"/>
      <c r="H19" s="152"/>
      <c r="I19" s="149"/>
      <c r="J19" s="149"/>
      <c r="K19" s="34"/>
      <c r="L19" s="7" t="e">
        <f>IF(RIGHT(L17,3)=":V1",MID(MID(L17,1,LEN(L17)-3),FIND(":",L17,1)+1,256),MID(L17,FIND(":",L17,1)+1,256))</f>
        <v>#VALUE!</v>
      </c>
      <c r="M19" s="7" t="s">
        <v>70</v>
      </c>
      <c r="P19" s="47"/>
      <c r="Q19" s="141" t="s">
        <v>348</v>
      </c>
      <c r="R19" s="141" t="s">
        <v>140</v>
      </c>
      <c r="S19" s="7" t="s">
        <v>235</v>
      </c>
      <c r="T19" s="139" t="s">
        <v>242</v>
      </c>
      <c r="U19" t="s">
        <v>86</v>
      </c>
      <c r="W19" s="3" t="s">
        <v>222</v>
      </c>
      <c r="X19" s="7" t="s">
        <v>260</v>
      </c>
    </row>
    <row r="20" spans="1:24" ht="28.5" customHeight="1" thickBot="1">
      <c r="A20" s="34"/>
      <c r="B20" s="170" t="s">
        <v>183</v>
      </c>
      <c r="C20" s="171" t="e">
        <f>LOWER(L34)</f>
        <v>#VALUE!</v>
      </c>
      <c r="D20" s="149"/>
      <c r="E20" s="150"/>
      <c r="F20" s="150"/>
      <c r="G20" s="172"/>
      <c r="H20" s="152"/>
      <c r="I20" s="149"/>
      <c r="J20" s="149"/>
      <c r="K20" s="34"/>
      <c r="L20" s="7" t="e">
        <f>IF(RIGHT(L18,3)="PRO",L18,(IF(RIGHT(L18,3)="PRD",L18,(IF(RIGHT(L18,3)="ITG",L18,(CONCATENATE(L18,"_PRD")))))))</f>
        <v>#VALUE!</v>
      </c>
      <c r="M20" s="7" t="s">
        <v>71</v>
      </c>
      <c r="P20" s="47"/>
      <c r="Q20" s="142" t="s">
        <v>349</v>
      </c>
      <c r="R20" s="142" t="s">
        <v>350</v>
      </c>
      <c r="S20" s="7" t="s">
        <v>235</v>
      </c>
      <c r="T20" s="205" t="s">
        <v>242</v>
      </c>
      <c r="U20" t="s">
        <v>87</v>
      </c>
      <c r="W20" s="3" t="s">
        <v>53</v>
      </c>
    </row>
    <row r="21" spans="1:24" ht="12.75" customHeight="1" thickBot="1">
      <c r="A21" s="34"/>
      <c r="B21" s="161"/>
      <c r="C21" s="173"/>
      <c r="D21" s="149"/>
      <c r="E21" s="150"/>
      <c r="F21" s="294" t="s">
        <v>74</v>
      </c>
      <c r="G21" s="295"/>
      <c r="H21" s="152"/>
      <c r="I21" s="149"/>
      <c r="J21" s="149"/>
      <c r="K21" s="34"/>
      <c r="M21" s="7" t="s">
        <v>189</v>
      </c>
      <c r="P21" s="47"/>
      <c r="Q21" s="143" t="s">
        <v>351</v>
      </c>
      <c r="R21" s="143" t="s">
        <v>341</v>
      </c>
      <c r="S21" s="7" t="s">
        <v>236</v>
      </c>
      <c r="T21" s="206" t="s">
        <v>243</v>
      </c>
      <c r="U21" t="s">
        <v>88</v>
      </c>
    </row>
    <row r="22" spans="1:24" ht="15" customHeight="1" thickBot="1">
      <c r="A22" s="34"/>
      <c r="B22" s="148"/>
      <c r="C22" s="149"/>
      <c r="D22" s="149"/>
      <c r="E22" s="150"/>
      <c r="F22" s="174" t="s">
        <v>75</v>
      </c>
      <c r="G22" s="175" t="e">
        <f>VLOOKUP(C12,Q10:T21,3,FALSE)</f>
        <v>#N/A</v>
      </c>
      <c r="H22" s="152"/>
      <c r="I22" s="149"/>
      <c r="J22" s="149"/>
      <c r="K22" s="34"/>
      <c r="S22"/>
      <c r="T22"/>
      <c r="U22"/>
      <c r="V22" t="s">
        <v>89</v>
      </c>
    </row>
    <row r="23" spans="1:24" ht="15.75" customHeight="1" thickBot="1">
      <c r="A23" s="34"/>
      <c r="B23" s="148"/>
      <c r="C23" s="149"/>
      <c r="D23" s="149"/>
      <c r="E23" s="150"/>
      <c r="F23" s="160" t="s">
        <v>1</v>
      </c>
      <c r="G23" s="176" t="e">
        <f>VLOOKUP(C12,Q10:T21,4, FALSE)</f>
        <v>#N/A</v>
      </c>
      <c r="H23" s="152"/>
      <c r="I23" s="149"/>
      <c r="J23" s="149"/>
      <c r="K23" s="34"/>
      <c r="S23"/>
      <c r="T23"/>
      <c r="U23"/>
      <c r="V23" t="s">
        <v>90</v>
      </c>
    </row>
    <row r="24" spans="1:24" ht="15.75" thickBot="1">
      <c r="A24" s="34"/>
      <c r="B24" s="177"/>
      <c r="C24" s="178"/>
      <c r="D24" s="178"/>
      <c r="E24" s="179"/>
      <c r="F24" s="178"/>
      <c r="G24" s="180"/>
      <c r="H24" s="152"/>
      <c r="I24" s="149"/>
      <c r="J24" s="149"/>
      <c r="K24" s="34"/>
      <c r="L24" s="7">
        <f>C19</f>
        <v>0</v>
      </c>
      <c r="S24"/>
      <c r="T24"/>
      <c r="U24"/>
      <c r="V24" t="s">
        <v>91</v>
      </c>
    </row>
    <row r="25" spans="1:24" ht="15.75" thickBot="1">
      <c r="A25" s="34"/>
      <c r="B25" s="173"/>
      <c r="C25" s="173"/>
      <c r="D25" s="173"/>
      <c r="E25" s="150"/>
      <c r="F25" s="173"/>
      <c r="G25" s="149"/>
      <c r="H25" s="149"/>
      <c r="I25" s="149"/>
      <c r="J25" s="149"/>
      <c r="K25" s="34"/>
      <c r="L25" s="32"/>
      <c r="S25"/>
      <c r="T25"/>
      <c r="U25"/>
      <c r="V25" t="s">
        <v>92</v>
      </c>
    </row>
    <row r="26" spans="1:24" ht="28.5" customHeight="1" thickBot="1">
      <c r="A26" s="34"/>
      <c r="B26" s="306" t="s">
        <v>244</v>
      </c>
      <c r="C26" s="307"/>
      <c r="D26" s="307"/>
      <c r="E26" s="307"/>
      <c r="F26" s="307"/>
      <c r="G26" s="181"/>
      <c r="H26" s="182"/>
      <c r="I26" s="182"/>
      <c r="J26" s="183"/>
      <c r="K26" s="200"/>
      <c r="L26" s="7" t="e">
        <f>IF(RIGHT(C19,3)=":V1",MID(MID(C19,1,LEN(C19)-3),FIND(":",C19,1)+1,256),MID(C19,FIND(":",C19,1)+1,256))</f>
        <v>#VALUE!</v>
      </c>
      <c r="O26"/>
      <c r="P26"/>
      <c r="Q26"/>
      <c r="R26"/>
      <c r="V26" t="s">
        <v>93</v>
      </c>
    </row>
    <row r="27" spans="1:24" ht="32.25" customHeight="1" thickBot="1">
      <c r="A27" s="34"/>
      <c r="B27" s="33" t="s">
        <v>192</v>
      </c>
      <c r="C27" s="313" t="e">
        <f>VLOOKUP(C12,Q10:T21,2,FALSE)</f>
        <v>#N/A</v>
      </c>
      <c r="D27" s="311"/>
      <c r="E27" s="308" t="s">
        <v>283</v>
      </c>
      <c r="F27" s="309"/>
      <c r="G27" s="192" t="e">
        <f>UPPER(IF(RIGHT(C19,3)=":V1",MID(MID(C19,1,LEN(C19)-3),FIND(":",C19,1)+1,256),MID(C19,FIND(":",C19,1)+1,256)))</f>
        <v>#VALUE!</v>
      </c>
      <c r="H27" s="261" t="s">
        <v>285</v>
      </c>
      <c r="I27" s="262"/>
      <c r="J27" s="263"/>
      <c r="K27" s="39"/>
      <c r="L27" s="7" t="e">
        <f>IF(RIGHT(C19,3)=":V1",MID(MID(C19,1,LEN(C19)-3),FIND(":",C19,1)+1,256),MID(C19,FIND(":",C19,1)+1,256))</f>
        <v>#VALUE!</v>
      </c>
      <c r="M27" s="36"/>
      <c r="N27" s="35"/>
      <c r="O27"/>
    </row>
    <row r="28" spans="1:24" ht="33" customHeight="1" thickBot="1">
      <c r="A28" s="34"/>
      <c r="B28" s="33" t="s">
        <v>193</v>
      </c>
      <c r="C28" s="313" t="e">
        <f>UPPER(IF(G18="",CONCATENATE(L20,"_APP"),CONCATENATE(L20,"_",G18)))</f>
        <v>#VALUE!</v>
      </c>
      <c r="D28" s="322"/>
      <c r="E28" s="322"/>
      <c r="F28" s="95" t="s">
        <v>284</v>
      </c>
      <c r="G28" s="53" t="s">
        <v>194</v>
      </c>
      <c r="H28" s="317" t="s">
        <v>245</v>
      </c>
      <c r="I28" s="318"/>
      <c r="J28" s="319"/>
      <c r="K28" s="39"/>
      <c r="L28" s="7" t="e">
        <f>IF(RIGHT(L27,3)="PRO",L27,(IF(RIGHT(L27,3)="PRD",L27,(IF(RIGHT(L27,3)="ITG",L27,(CONCATENATE(L27,"_PRD")))))))</f>
        <v>#VALUE!</v>
      </c>
      <c r="M28" s="36"/>
      <c r="N28" s="35"/>
      <c r="O28"/>
      <c r="P28"/>
      <c r="Q28"/>
      <c r="R28"/>
    </row>
    <row r="29" spans="1:24" ht="41.25" customHeight="1" thickBot="1">
      <c r="A29" s="34"/>
      <c r="B29" s="33" t="s">
        <v>208</v>
      </c>
      <c r="C29" s="310">
        <f>G12</f>
        <v>0</v>
      </c>
      <c r="D29" s="311"/>
      <c r="E29" s="312"/>
      <c r="F29" s="320" t="s">
        <v>209</v>
      </c>
      <c r="G29" s="321"/>
      <c r="H29" s="267">
        <f>G13</f>
        <v>0</v>
      </c>
      <c r="I29" s="267"/>
      <c r="J29" s="268"/>
      <c r="K29" s="39"/>
      <c r="L29" s="7" t="e">
        <f>IF(RIGHT(L26,3)="PRO",L26,(IF(RIGHT(L26,3)="PRD",L26,(IF(RIGHT(L26,3)="ITG",L26,(CONCATENATE(L26,"-PRD")))))))</f>
        <v>#VALUE!</v>
      </c>
      <c r="M29" s="36"/>
      <c r="O29" t="s">
        <v>94</v>
      </c>
      <c r="P29" t="s">
        <v>228</v>
      </c>
      <c r="Q29"/>
      <c r="R29"/>
    </row>
    <row r="30" spans="1:24" ht="37.5" customHeight="1" thickBot="1">
      <c r="A30" s="34"/>
      <c r="B30" s="30" t="s">
        <v>29</v>
      </c>
      <c r="C30" s="314"/>
      <c r="D30" s="315"/>
      <c r="E30" s="315"/>
      <c r="F30" s="315"/>
      <c r="G30" s="315"/>
      <c r="H30" s="315"/>
      <c r="I30" s="315"/>
      <c r="J30" s="316"/>
      <c r="K30" s="39"/>
      <c r="L30" s="7" t="e">
        <f>LEFT(L29,LEN(L29)-4)</f>
        <v>#VALUE!</v>
      </c>
      <c r="M30" s="36"/>
      <c r="O30"/>
      <c r="P30"/>
      <c r="Q30"/>
      <c r="R30"/>
    </row>
    <row r="31" spans="1:24" ht="37.5" customHeight="1" thickBot="1">
      <c r="A31" s="34"/>
      <c r="B31" s="269" t="s">
        <v>330</v>
      </c>
      <c r="C31" s="270"/>
      <c r="D31" s="271"/>
      <c r="E31" s="271"/>
      <c r="F31" s="271"/>
      <c r="G31" s="271"/>
      <c r="H31" s="271"/>
      <c r="I31" s="271"/>
      <c r="J31" s="271"/>
      <c r="K31" s="201"/>
      <c r="M31" s="36"/>
      <c r="O31"/>
      <c r="P31"/>
      <c r="Q31"/>
      <c r="R31"/>
    </row>
    <row r="32" spans="1:24" ht="23.25" customHeight="1" thickBot="1">
      <c r="A32" s="34"/>
      <c r="B32" s="202" t="s">
        <v>196</v>
      </c>
      <c r="C32" s="202" t="s">
        <v>3</v>
      </c>
      <c r="D32" s="259" t="s">
        <v>355</v>
      </c>
      <c r="E32" s="260"/>
      <c r="F32" s="260"/>
      <c r="G32" s="260"/>
      <c r="H32" s="259" t="s">
        <v>356</v>
      </c>
      <c r="I32" s="260"/>
      <c r="J32" s="260"/>
      <c r="K32" s="272"/>
      <c r="L32" s="7" t="e">
        <f>RIGHT(L28,3)</f>
        <v>#VALUE!</v>
      </c>
      <c r="M32" s="36"/>
      <c r="O32"/>
      <c r="P32" t="s">
        <v>95</v>
      </c>
      <c r="Q32"/>
      <c r="R32"/>
    </row>
    <row r="33" spans="1:31" ht="15.75" thickBot="1">
      <c r="A33" s="34"/>
      <c r="B33" s="186"/>
      <c r="C33" s="199"/>
      <c r="D33" s="184"/>
      <c r="E33" s="184"/>
      <c r="F33" s="185"/>
      <c r="G33" s="184"/>
      <c r="H33" s="186"/>
      <c r="I33" s="186"/>
      <c r="J33" s="186"/>
      <c r="L33" s="7" t="str">
        <f>IF(G18="","APP",G18)</f>
        <v>APP</v>
      </c>
      <c r="M33" s="36"/>
      <c r="O33"/>
      <c r="P33" t="s">
        <v>96</v>
      </c>
      <c r="Q33"/>
      <c r="R33"/>
    </row>
    <row r="34" spans="1:31" ht="44.25" customHeight="1">
      <c r="A34" s="77"/>
      <c r="B34" s="187" t="s">
        <v>272</v>
      </c>
      <c r="C34" s="188" t="s">
        <v>268</v>
      </c>
      <c r="D34" s="273" t="s">
        <v>357</v>
      </c>
      <c r="E34" s="274"/>
      <c r="F34" s="274"/>
      <c r="G34" s="275"/>
      <c r="H34" s="273" t="s">
        <v>367</v>
      </c>
      <c r="I34" s="274"/>
      <c r="J34" s="275"/>
      <c r="L34" s="1" t="e">
        <f>CONCATENATE(L30,":",L32,"-",L33)</f>
        <v>#VALUE!</v>
      </c>
      <c r="M34" s="36"/>
      <c r="O34"/>
      <c r="P34" t="s">
        <v>97</v>
      </c>
      <c r="Q34"/>
      <c r="R34"/>
    </row>
    <row r="35" spans="1:31" ht="78" customHeight="1" thickBot="1">
      <c r="A35" s="73"/>
      <c r="B35" s="203"/>
      <c r="C35" s="189" t="e">
        <f>CONCATENATE($C$28,"_",UPPER(B35))</f>
        <v>#VALUE!</v>
      </c>
      <c r="D35" s="276"/>
      <c r="E35" s="277"/>
      <c r="F35" s="277"/>
      <c r="G35" s="278"/>
      <c r="H35" s="276"/>
      <c r="I35" s="277"/>
      <c r="J35" s="279"/>
      <c r="M35" s="36"/>
      <c r="O35"/>
      <c r="P35" t="s">
        <v>98</v>
      </c>
      <c r="Q35"/>
      <c r="R35"/>
      <c r="Z35" s="264" t="s">
        <v>278</v>
      </c>
      <c r="AA35" s="265"/>
      <c r="AB35" s="265"/>
      <c r="AC35" s="265"/>
      <c r="AD35" s="266"/>
      <c r="AE35" s="266"/>
    </row>
    <row r="36" spans="1:31" ht="24.95" customHeight="1">
      <c r="A36" s="73"/>
      <c r="B36" s="273" t="s">
        <v>358</v>
      </c>
      <c r="C36" s="274"/>
      <c r="D36" s="274"/>
      <c r="E36" s="274"/>
      <c r="F36" s="323"/>
      <c r="G36" s="323"/>
      <c r="H36" s="323"/>
      <c r="I36" s="323"/>
      <c r="J36" s="324"/>
      <c r="O36"/>
      <c r="P36" t="s">
        <v>100</v>
      </c>
      <c r="Q36"/>
      <c r="R36"/>
    </row>
    <row r="37" spans="1:31" ht="57.75" customHeight="1" thickBot="1">
      <c r="A37" s="73"/>
      <c r="B37" s="325"/>
      <c r="C37" s="326"/>
      <c r="D37" s="326"/>
      <c r="E37" s="326"/>
      <c r="F37" s="326"/>
      <c r="G37" s="326"/>
      <c r="H37" s="326"/>
      <c r="I37" s="326"/>
      <c r="J37" s="327"/>
      <c r="O37"/>
      <c r="P37"/>
      <c r="Q37"/>
      <c r="R37"/>
    </row>
    <row r="38" spans="1:31" ht="22.5" customHeight="1" thickBot="1">
      <c r="A38" s="34"/>
      <c r="B38" s="190"/>
      <c r="C38" s="191"/>
      <c r="D38" s="184"/>
      <c r="E38" s="184"/>
      <c r="F38" s="185"/>
      <c r="G38" s="184"/>
      <c r="H38" s="186"/>
      <c r="I38" s="186"/>
      <c r="J38" s="186"/>
      <c r="O38"/>
      <c r="P38" t="s">
        <v>103</v>
      </c>
      <c r="Q38"/>
      <c r="R38"/>
    </row>
    <row r="39" spans="1:31" ht="44.25" customHeight="1">
      <c r="A39" s="77"/>
      <c r="B39" s="187" t="s">
        <v>359</v>
      </c>
      <c r="C39" s="188" t="s">
        <v>267</v>
      </c>
      <c r="D39" s="273" t="s">
        <v>360</v>
      </c>
      <c r="E39" s="274"/>
      <c r="F39" s="274"/>
      <c r="G39" s="275"/>
      <c r="H39" s="273" t="s">
        <v>366</v>
      </c>
      <c r="I39" s="274"/>
      <c r="J39" s="275"/>
      <c r="L39" s="1" t="str">
        <f>CONCATENATE(L35,":",L37,"-",L38)</f>
        <v>:-</v>
      </c>
      <c r="M39" s="36"/>
      <c r="O39"/>
      <c r="P39" t="s">
        <v>97</v>
      </c>
      <c r="Q39"/>
      <c r="R39"/>
    </row>
    <row r="40" spans="1:31" ht="68.25" customHeight="1" thickBot="1">
      <c r="A40" s="73"/>
      <c r="B40" s="203"/>
      <c r="C40" s="189" t="e">
        <f>CONCATENATE($C$28,"_",UPPER(B40))</f>
        <v>#VALUE!</v>
      </c>
      <c r="D40" s="276"/>
      <c r="E40" s="277"/>
      <c r="F40" s="277"/>
      <c r="G40" s="278"/>
      <c r="H40" s="276"/>
      <c r="I40" s="277"/>
      <c r="J40" s="279"/>
      <c r="M40" s="36"/>
      <c r="O40"/>
      <c r="P40" t="s">
        <v>98</v>
      </c>
      <c r="Q40"/>
      <c r="R40"/>
      <c r="Z40" s="264" t="s">
        <v>280</v>
      </c>
      <c r="AA40" s="265"/>
      <c r="AB40" s="265"/>
      <c r="AC40" s="265"/>
      <c r="AD40" s="266"/>
      <c r="AE40" s="266"/>
    </row>
    <row r="41" spans="1:31" ht="24.95" customHeight="1">
      <c r="A41" s="73"/>
      <c r="B41" s="273" t="s">
        <v>361</v>
      </c>
      <c r="C41" s="274"/>
      <c r="D41" s="274"/>
      <c r="E41" s="274"/>
      <c r="F41" s="323"/>
      <c r="G41" s="323"/>
      <c r="H41" s="323"/>
      <c r="I41" s="323"/>
      <c r="J41" s="324"/>
      <c r="O41"/>
      <c r="P41" t="s">
        <v>100</v>
      </c>
      <c r="Q41"/>
      <c r="R41"/>
    </row>
    <row r="42" spans="1:31" ht="69" customHeight="1" thickBot="1">
      <c r="A42" s="73"/>
      <c r="B42" s="325"/>
      <c r="C42" s="326"/>
      <c r="D42" s="326"/>
      <c r="E42" s="326"/>
      <c r="F42" s="326"/>
      <c r="G42" s="326"/>
      <c r="H42" s="326"/>
      <c r="I42" s="326"/>
      <c r="J42" s="327"/>
      <c r="O42"/>
      <c r="P42"/>
      <c r="Q42"/>
      <c r="R42"/>
    </row>
    <row r="43" spans="1:31" ht="22.5" customHeight="1" thickBot="1">
      <c r="A43" s="34"/>
      <c r="B43" s="190"/>
      <c r="C43" s="191"/>
      <c r="D43" s="184"/>
      <c r="E43" s="184"/>
      <c r="F43" s="185"/>
      <c r="G43" s="184"/>
      <c r="H43" s="186"/>
      <c r="I43" s="186"/>
      <c r="J43" s="186"/>
      <c r="O43"/>
      <c r="P43"/>
      <c r="Q43"/>
      <c r="R43"/>
    </row>
    <row r="44" spans="1:31" ht="44.25" customHeight="1">
      <c r="A44" s="77"/>
      <c r="B44" s="187" t="s">
        <v>362</v>
      </c>
      <c r="C44" s="188" t="s">
        <v>269</v>
      </c>
      <c r="D44" s="273" t="s">
        <v>363</v>
      </c>
      <c r="E44" s="274"/>
      <c r="F44" s="274"/>
      <c r="G44" s="275"/>
      <c r="H44" s="273" t="s">
        <v>364</v>
      </c>
      <c r="I44" s="274"/>
      <c r="J44" s="275"/>
      <c r="L44" s="1" t="str">
        <f>CONCATENATE(L40,":",L42,"-",L43)</f>
        <v>:-</v>
      </c>
      <c r="M44" s="36"/>
      <c r="O44"/>
      <c r="P44" t="s">
        <v>97</v>
      </c>
      <c r="Q44"/>
      <c r="R44"/>
    </row>
    <row r="45" spans="1:31" ht="68.25" customHeight="1" thickBot="1">
      <c r="A45" s="73"/>
      <c r="B45" s="203"/>
      <c r="C45" s="189" t="e">
        <f>CONCATENATE($C$28,"_",UPPER(B45))</f>
        <v>#VALUE!</v>
      </c>
      <c r="D45" s="276"/>
      <c r="E45" s="277"/>
      <c r="F45" s="277"/>
      <c r="G45" s="278"/>
      <c r="H45" s="276"/>
      <c r="I45" s="277"/>
      <c r="J45" s="279"/>
      <c r="M45" s="36"/>
      <c r="O45"/>
      <c r="P45" t="s">
        <v>98</v>
      </c>
      <c r="Q45"/>
      <c r="R45"/>
      <c r="Z45" s="264" t="s">
        <v>279</v>
      </c>
      <c r="AA45" s="265"/>
      <c r="AB45" s="265"/>
      <c r="AC45" s="265"/>
      <c r="AD45" s="266"/>
      <c r="AE45" s="266"/>
    </row>
    <row r="46" spans="1:31" ht="24.95" customHeight="1">
      <c r="A46" s="73"/>
      <c r="B46" s="273" t="s">
        <v>365</v>
      </c>
      <c r="C46" s="274"/>
      <c r="D46" s="274"/>
      <c r="E46" s="274"/>
      <c r="F46" s="323"/>
      <c r="G46" s="323"/>
      <c r="H46" s="323"/>
      <c r="I46" s="323"/>
      <c r="J46" s="324"/>
      <c r="O46"/>
      <c r="P46" t="s">
        <v>100</v>
      </c>
      <c r="Q46"/>
      <c r="R46"/>
    </row>
    <row r="47" spans="1:31" ht="69" customHeight="1" thickBot="1">
      <c r="A47" s="73"/>
      <c r="B47" s="325"/>
      <c r="C47" s="326"/>
      <c r="D47" s="326"/>
      <c r="E47" s="326"/>
      <c r="F47" s="326"/>
      <c r="G47" s="326"/>
      <c r="H47" s="326"/>
      <c r="I47" s="326"/>
      <c r="J47" s="327"/>
      <c r="O47"/>
      <c r="P47"/>
      <c r="Q47"/>
      <c r="R47"/>
    </row>
    <row r="48" spans="1:31" ht="22.5" customHeight="1" thickBot="1">
      <c r="A48" s="34"/>
      <c r="B48" s="190"/>
      <c r="C48" s="191"/>
      <c r="D48" s="184"/>
      <c r="E48" s="184"/>
      <c r="F48" s="185"/>
      <c r="G48" s="184"/>
      <c r="H48" s="186"/>
      <c r="I48" s="186"/>
      <c r="J48" s="186"/>
      <c r="O48"/>
      <c r="P48"/>
      <c r="Q48"/>
      <c r="R48"/>
    </row>
    <row r="49" spans="1:31" ht="44.25" customHeight="1">
      <c r="A49" s="77"/>
      <c r="B49" s="187" t="s">
        <v>368</v>
      </c>
      <c r="C49" s="188" t="s">
        <v>270</v>
      </c>
      <c r="D49" s="273" t="s">
        <v>369</v>
      </c>
      <c r="E49" s="274"/>
      <c r="F49" s="274"/>
      <c r="G49" s="275"/>
      <c r="H49" s="273" t="s">
        <v>370</v>
      </c>
      <c r="I49" s="274"/>
      <c r="J49" s="275"/>
      <c r="L49" s="1" t="str">
        <f>CONCATENATE(L45,":",L47,"-",L48)</f>
        <v>:-</v>
      </c>
      <c r="M49" s="36"/>
      <c r="O49"/>
      <c r="P49" t="s">
        <v>97</v>
      </c>
      <c r="Q49"/>
      <c r="R49"/>
    </row>
    <row r="50" spans="1:31" ht="68.25" customHeight="1" thickBot="1">
      <c r="A50" s="73"/>
      <c r="B50" s="204"/>
      <c r="C50" s="189" t="e">
        <f>CONCATENATE($C$28,"_",UPPER(B50))</f>
        <v>#VALUE!</v>
      </c>
      <c r="D50" s="331"/>
      <c r="E50" s="332"/>
      <c r="F50" s="332"/>
      <c r="G50" s="333"/>
      <c r="H50" s="331"/>
      <c r="I50" s="332"/>
      <c r="J50" s="333"/>
      <c r="M50" s="36"/>
      <c r="O50"/>
      <c r="P50" t="s">
        <v>98</v>
      </c>
      <c r="Q50"/>
      <c r="R50"/>
      <c r="Z50" s="264" t="s">
        <v>281</v>
      </c>
      <c r="AA50" s="265"/>
      <c r="AB50" s="265"/>
      <c r="AC50" s="265"/>
      <c r="AD50" s="266"/>
      <c r="AE50" s="266"/>
    </row>
    <row r="51" spans="1:31" ht="24.95" customHeight="1">
      <c r="A51" s="73"/>
      <c r="B51" s="273" t="s">
        <v>371</v>
      </c>
      <c r="C51" s="274"/>
      <c r="D51" s="274"/>
      <c r="E51" s="274"/>
      <c r="F51" s="323"/>
      <c r="G51" s="323"/>
      <c r="H51" s="323"/>
      <c r="I51" s="323"/>
      <c r="J51" s="324"/>
      <c r="O51"/>
      <c r="P51" t="s">
        <v>100</v>
      </c>
      <c r="Q51"/>
      <c r="R51"/>
    </row>
    <row r="52" spans="1:31" ht="69" customHeight="1" thickBot="1">
      <c r="A52" s="73"/>
      <c r="B52" s="328"/>
      <c r="C52" s="329"/>
      <c r="D52" s="329"/>
      <c r="E52" s="329"/>
      <c r="F52" s="329"/>
      <c r="G52" s="329"/>
      <c r="H52" s="329"/>
      <c r="I52" s="329"/>
      <c r="J52" s="330"/>
      <c r="O52"/>
      <c r="P52"/>
      <c r="Q52"/>
      <c r="R52"/>
    </row>
    <row r="53" spans="1:31" ht="18" customHeight="1" thickBot="1">
      <c r="A53" s="41"/>
      <c r="B53" s="186"/>
      <c r="C53" s="186"/>
      <c r="D53" s="186"/>
      <c r="E53" s="184"/>
      <c r="F53" s="162"/>
      <c r="G53" s="186"/>
      <c r="H53" s="186"/>
      <c r="I53" s="186"/>
      <c r="J53" s="186"/>
      <c r="O53"/>
      <c r="P53"/>
      <c r="Q53"/>
      <c r="R53"/>
    </row>
    <row r="54" spans="1:31" ht="44.25" customHeight="1">
      <c r="A54" s="77"/>
      <c r="B54" s="187" t="s">
        <v>372</v>
      </c>
      <c r="C54" s="188" t="s">
        <v>271</v>
      </c>
      <c r="D54" s="273" t="s">
        <v>373</v>
      </c>
      <c r="E54" s="274"/>
      <c r="F54" s="274"/>
      <c r="G54" s="275"/>
      <c r="H54" s="273" t="s">
        <v>374</v>
      </c>
      <c r="I54" s="274"/>
      <c r="J54" s="275"/>
      <c r="L54" s="1" t="str">
        <f>CONCATENATE(L50,":",L52,"-",L53)</f>
        <v>:-</v>
      </c>
      <c r="M54" s="36"/>
      <c r="O54"/>
      <c r="P54" t="s">
        <v>97</v>
      </c>
      <c r="Q54"/>
      <c r="R54"/>
    </row>
    <row r="55" spans="1:31" ht="68.25" customHeight="1" thickBot="1">
      <c r="A55" s="73"/>
      <c r="B55" s="204"/>
      <c r="C55" s="189" t="e">
        <f>CONCATENATE($C$28,"_",UPPER(B55))</f>
        <v>#VALUE!</v>
      </c>
      <c r="D55" s="331"/>
      <c r="E55" s="332"/>
      <c r="F55" s="332"/>
      <c r="G55" s="333"/>
      <c r="H55" s="331"/>
      <c r="I55" s="332"/>
      <c r="J55" s="333"/>
      <c r="M55" s="36"/>
      <c r="O55"/>
      <c r="P55" t="s">
        <v>98</v>
      </c>
      <c r="Q55"/>
      <c r="R55"/>
      <c r="Z55" s="264" t="s">
        <v>282</v>
      </c>
      <c r="AA55" s="265"/>
      <c r="AB55" s="265"/>
      <c r="AC55" s="265"/>
      <c r="AD55" s="266"/>
      <c r="AE55" s="266"/>
    </row>
    <row r="56" spans="1:31" ht="24.95" customHeight="1">
      <c r="A56" s="73"/>
      <c r="B56" s="273" t="s">
        <v>375</v>
      </c>
      <c r="C56" s="274"/>
      <c r="D56" s="274"/>
      <c r="E56" s="274"/>
      <c r="F56" s="323"/>
      <c r="G56" s="323"/>
      <c r="H56" s="323"/>
      <c r="I56" s="323"/>
      <c r="J56" s="324"/>
      <c r="O56"/>
      <c r="P56" t="s">
        <v>100</v>
      </c>
      <c r="Q56"/>
      <c r="R56"/>
    </row>
    <row r="57" spans="1:31" ht="69" customHeight="1" thickBot="1">
      <c r="A57" s="73"/>
      <c r="B57" s="328"/>
      <c r="C57" s="329"/>
      <c r="D57" s="329"/>
      <c r="E57" s="329"/>
      <c r="F57" s="329"/>
      <c r="G57" s="329"/>
      <c r="H57" s="329"/>
      <c r="I57" s="329"/>
      <c r="J57" s="330"/>
      <c r="O57"/>
      <c r="P57"/>
      <c r="Q57"/>
      <c r="R57"/>
    </row>
    <row r="58" spans="1:31">
      <c r="N58"/>
      <c r="O58" t="s">
        <v>127</v>
      </c>
    </row>
    <row r="59" spans="1:31">
      <c r="N59"/>
      <c r="O59" t="s">
        <v>128</v>
      </c>
    </row>
    <row r="60" spans="1:31">
      <c r="N60"/>
      <c r="O60" t="s">
        <v>129</v>
      </c>
    </row>
    <row r="61" spans="1:31">
      <c r="N61"/>
      <c r="O61" t="s">
        <v>130</v>
      </c>
    </row>
    <row r="62" spans="1:31">
      <c r="N62"/>
      <c r="O62" t="s">
        <v>131</v>
      </c>
    </row>
    <row r="63" spans="1:31">
      <c r="N63"/>
      <c r="O63"/>
    </row>
    <row r="64" spans="1:31">
      <c r="N64" t="s">
        <v>132</v>
      </c>
      <c r="O64"/>
    </row>
    <row r="65" spans="14:15">
      <c r="N65"/>
      <c r="O65"/>
    </row>
    <row r="66" spans="14:15">
      <c r="N66"/>
      <c r="O66" t="s">
        <v>133</v>
      </c>
    </row>
    <row r="67" spans="14:15">
      <c r="N67"/>
      <c r="O67" t="s">
        <v>168</v>
      </c>
    </row>
    <row r="68" spans="14:15">
      <c r="N68"/>
      <c r="O68" t="s">
        <v>169</v>
      </c>
    </row>
    <row r="69" spans="14:15">
      <c r="N69"/>
      <c r="O69" t="s">
        <v>170</v>
      </c>
    </row>
    <row r="70" spans="14:15">
      <c r="N70"/>
      <c r="O70" t="s">
        <v>171</v>
      </c>
    </row>
    <row r="71" spans="14:15">
      <c r="N71"/>
      <c r="O71" t="s">
        <v>172</v>
      </c>
    </row>
    <row r="72" spans="14:15">
      <c r="N72"/>
      <c r="O72" t="s">
        <v>173</v>
      </c>
    </row>
    <row r="73" spans="14:15">
      <c r="N73"/>
      <c r="O73" t="s">
        <v>174</v>
      </c>
    </row>
    <row r="74" spans="14:15">
      <c r="N74"/>
      <c r="O74" t="s">
        <v>175</v>
      </c>
    </row>
    <row r="75" spans="14:15">
      <c r="N75"/>
    </row>
    <row r="76" spans="14:15">
      <c r="N76" t="s">
        <v>178</v>
      </c>
      <c r="O76" s="7" t="s">
        <v>179</v>
      </c>
    </row>
    <row r="77" spans="14:15">
      <c r="N77"/>
      <c r="O77" s="7" t="s">
        <v>180</v>
      </c>
    </row>
    <row r="78" spans="14:15">
      <c r="N78"/>
    </row>
    <row r="79" spans="14:15">
      <c r="N79"/>
    </row>
    <row r="80" spans="14:15">
      <c r="N80"/>
    </row>
    <row r="81" spans="14:14">
      <c r="N81"/>
    </row>
    <row r="82" spans="14:14">
      <c r="N82"/>
    </row>
    <row r="83" spans="14:14">
      <c r="N83"/>
    </row>
    <row r="84" spans="14:14">
      <c r="N84"/>
    </row>
  </sheetData>
  <sheetProtection sheet="1" objects="1" scenarios="1" formatRows="0"/>
  <protectedRanges>
    <protectedRange sqref="B37 B42 B47 B52 B57" name="Comments"/>
    <protectedRange sqref="C30" name="Business Process Instructions_2"/>
    <protectedRange sqref="B35 D35:J35 B37 B40 D40:J40 B42 B45 D45:J45 B47 B50 D50:J50 B52 B55 D55:J55 B57" name="Transaction Description_2"/>
    <protectedRange sqref="C19" name="CMDB Information"/>
    <protectedRange sqref="G11:G18" name="Application Information"/>
    <protectedRange sqref="C12:C16" name="Customer Information"/>
    <protectedRange sqref="L9:L35 L39:L40 L44:L45 L49:L50 L54:L55" name="Formulas"/>
    <protectedRange sqref="H28:J28" name="ChangeType"/>
  </protectedRanges>
  <mergeCells count="58">
    <mergeCell ref="D55:G55"/>
    <mergeCell ref="H55:J55"/>
    <mergeCell ref="Z55:AE55"/>
    <mergeCell ref="B56:J56"/>
    <mergeCell ref="B57:J57"/>
    <mergeCell ref="B51:J51"/>
    <mergeCell ref="B52:J52"/>
    <mergeCell ref="D54:G54"/>
    <mergeCell ref="H54:J54"/>
    <mergeCell ref="D49:G49"/>
    <mergeCell ref="H49:J49"/>
    <mergeCell ref="D50:G50"/>
    <mergeCell ref="H50:J50"/>
    <mergeCell ref="Z50:AE50"/>
    <mergeCell ref="D45:G45"/>
    <mergeCell ref="H45:J45"/>
    <mergeCell ref="Z45:AE45"/>
    <mergeCell ref="B46:J46"/>
    <mergeCell ref="B47:J47"/>
    <mergeCell ref="Z40:AE40"/>
    <mergeCell ref="B41:J41"/>
    <mergeCell ref="B42:J42"/>
    <mergeCell ref="D44:G44"/>
    <mergeCell ref="H44:J44"/>
    <mergeCell ref="B36:J36"/>
    <mergeCell ref="B37:J37"/>
    <mergeCell ref="D39:G39"/>
    <mergeCell ref="H39:J39"/>
    <mergeCell ref="D40:G40"/>
    <mergeCell ref="H40:J40"/>
    <mergeCell ref="B26:F26"/>
    <mergeCell ref="E27:F27"/>
    <mergeCell ref="C29:E29"/>
    <mergeCell ref="C27:D27"/>
    <mergeCell ref="C30:J30"/>
    <mergeCell ref="H28:J28"/>
    <mergeCell ref="F29:G29"/>
    <mergeCell ref="C28:E28"/>
    <mergeCell ref="C1:E1"/>
    <mergeCell ref="E8:G8"/>
    <mergeCell ref="B3:G3"/>
    <mergeCell ref="B5:G7"/>
    <mergeCell ref="F21:G21"/>
    <mergeCell ref="B4:G4"/>
    <mergeCell ref="F15:F16"/>
    <mergeCell ref="G15:G16"/>
    <mergeCell ref="B8:C8"/>
    <mergeCell ref="C12:C13"/>
    <mergeCell ref="D32:G32"/>
    <mergeCell ref="H27:J27"/>
    <mergeCell ref="Z35:AE35"/>
    <mergeCell ref="H29:J29"/>
    <mergeCell ref="B31:J31"/>
    <mergeCell ref="H32:K32"/>
    <mergeCell ref="D34:G34"/>
    <mergeCell ref="H34:J34"/>
    <mergeCell ref="D35:G35"/>
    <mergeCell ref="H35:J35"/>
  </mergeCells>
  <phoneticPr fontId="5" type="noConversion"/>
  <dataValidations xWindow="704" yWindow="363" count="18">
    <dataValidation allowBlank="1" showInputMessage="1" showErrorMessage="1" prompt="Describe the process, step by step, that a user would follow to complete this transaction. Include any checks that the script should make to validate the step has passed. Use all 5 cells if necessary_x000a__x000a_Eg: Go to http://google.co.uk_x000a_Check for text: Search:_x000a_" sqref="B41:C41 B51:C51 B46:C46 B36:C36 B56:C56"/>
    <dataValidation type="textLength" allowBlank="1" showInputMessage="1" showErrorMessage="1" promptTitle="Business Process Description" prompt="Not required: If left blank will default to: APP_x000a_Max 10 character description of the business process. Eg:  PARTLOOKUP for a business process which looks up a part number._x000a_This is field can't contain blank spaces." sqref="G18">
      <formula1>0</formula1>
      <formula2>10</formula2>
    </dataValidation>
    <dataValidation type="list" allowBlank="1" showInputMessage="1" showErrorMessage="1" promptTitle="Hosting Datacenter" prompt="This is the datacenter as selected from the list which hosts the application or solution to be monitored._x000a_If an application instance is hosted in multiple datacenters, select the most appropriate location." sqref="G17">
      <formula1>$X$12:$X$19</formula1>
    </dataValidation>
    <dataValidation type="list" allowBlank="1" showInputMessage="1" showErrorMessage="1" promptTitle="Application Criticality" prompt="This is the application or solution classification as listed in Apate." sqref="G15:G16">
      <formula1>$M$18:$M$21</formula1>
    </dataValidation>
    <dataValidation allowBlank="1" showInputMessage="1" showErrorMessage="1" promptTitle="EPR or Solution ID" prompt="This is the ID, as listed in Apate, for the application or solution to be monitored." sqref="G14"/>
    <dataValidation type="list" allowBlank="1" showInputMessage="1" showErrorMessage="1" promptTitle="Application Access Direction" prompt="Select from the available list which best represents the user entry point to the application._x000a_If the application is both Internally and Externally, select Both and the Application will be monitored from the Intra and Internet." sqref="G12">
      <formula1>$V$12:$V$14</formula1>
    </dataValidation>
    <dataValidation type="list" allowBlank="1" showInputMessage="1" showErrorMessage="1" promptTitle="User Access Method" prompt="This is the selection from the available list which best represents the access required by users to access the application or solution." sqref="G13">
      <formula1>$W$12:$W$20</formula1>
    </dataValidation>
    <dataValidation allowBlank="1" showInputMessage="1" showErrorMessage="1" promptTitle="BAC Application Instance Part CI" prompt="This is a protected cell. _x000a_The data presented is based of answers to previous questions. It represents the Application Instance Part CI which must be created by the application team to allow correct routing of Incident Tickets." sqref="C20"/>
    <dataValidation allowBlank="1" showInputMessage="1" showErrorMessage="1" promptTitle="Phone Number" prompt="This is the phone number of the person responsible for completing this template (the Requestor)." sqref="C15"/>
    <dataValidation allowBlank="1" showInputMessage="1" showErrorMessage="1" promptTitle="E-mail Address" prompt="This is the email address of the person responsible for completing this template (the Requestor)." sqref="C16"/>
    <dataValidation allowBlank="1" showInputMessage="1" showErrorMessage="1" promptTitle="Application Instance CI" prompt="This is the Configuration Item (CI) created within the CMDB for the Application Instance referenced in the Business Process. This will be the Application Instance for which the monitoring will be created. _x000a_You entry here must begin with &quot;HPIT:&quot;." sqref="C19"/>
    <dataValidation allowBlank="1" showInputMessage="1" showErrorMessage="1" promptTitle="Requestor Name" prompt="This is the person responsible for completing this template. _x000a_Questions regarding the accuracy of data in the template will be directed to the requestor." sqref="C14"/>
    <dataValidation type="list" allowBlank="1" showInputMessage="1" showErrorMessage="1" promptTitle="Development (IT Owner) L2" prompt="This is the Level 2 organization for the application or solution as listed in Apate._x000a_See the note for cell B18 for a complete list of available selections." sqref="C12:C13">
      <formula1>$Q$10:$Q$21</formula1>
    </dataValidation>
    <dataValidation allowBlank="1" showInputMessage="1" showErrorMessage="1" promptTitle="Application or Solution Name" prompt="This is the name, as listed in Apate, of the application or solution which should be monitored." sqref="G11"/>
    <dataValidation type="textLength" allowBlank="1" showInputMessage="1" showErrorMessage="1" promptTitle="T1 Short Description" prompt="Choose a name that best describes the action for this transaction step;_x000a_Eg: If this step is where the user gose to the home page, use HOME as the short transaction name." sqref="B35 B50 B45 B40 B55">
      <formula1>1</formula1>
      <formula2>15</formula2>
    </dataValidation>
    <dataValidation allowBlank="1" showInputMessage="1" showErrorMessage="1" promptTitle="Script Name" prompt="This is the name of the script that will be created using Vugen. It is very important that this name is used EXACTLY as appears in this cell. This is used to drive the ALERTS from BAC to HPSC and ensure they are routed to the correct workgroup" sqref="C28:E28"/>
    <dataValidation allowBlank="1" showInputMessage="1" showErrorMessage="1" promptTitle="BAC Profile Name" prompt="This is the name of the BAC Profile. It is very important that this name is used EXACTLY as appears in this cell. This is used in ITR2 for SLA reporting." sqref="G27"/>
    <dataValidation type="list" allowBlank="1" showInputMessage="1" showErrorMessage="1" sqref="H28:J28">
      <formula1>$Y$12:$Y$15</formula1>
    </dataValidation>
  </dataValidations>
  <hyperlinks>
    <hyperlink ref="E8" r:id="rId1"/>
    <hyperlink ref="C16" r:id="rId2"/>
    <hyperlink ref="T12" r:id="rId3"/>
    <hyperlink ref="T15" r:id="rId4"/>
    <hyperlink ref="T16" r:id="rId5"/>
    <hyperlink ref="T17" r:id="rId6"/>
    <hyperlink ref="T19" r:id="rId7"/>
    <hyperlink ref="T10" r:id="rId8"/>
    <hyperlink ref="T11" r:id="rId9"/>
    <hyperlink ref="T13" r:id="rId10"/>
    <hyperlink ref="T14" r:id="rId11"/>
    <hyperlink ref="T18" r:id="rId12"/>
    <hyperlink ref="T20" r:id="rId13"/>
    <hyperlink ref="T21" r:id="rId14"/>
  </hyperlinks>
  <pageMargins left="0.75" right="0.75" top="1" bottom="1" header="0.5" footer="0.5"/>
  <pageSetup scale="70" orientation="landscape" r:id="rId15"/>
  <headerFooter alignWithMargins="0"/>
  <drawing r:id="rId16"/>
  <legacyDrawing r:id="rId17"/>
</worksheet>
</file>

<file path=xl/worksheets/sheet3.xml><?xml version="1.0" encoding="utf-8"?>
<worksheet xmlns="http://schemas.openxmlformats.org/spreadsheetml/2006/main" xmlns:r="http://schemas.openxmlformats.org/officeDocument/2006/relationships">
  <sheetPr codeName="Sheet4"/>
  <dimension ref="B1:F41"/>
  <sheetViews>
    <sheetView zoomScale="85" workbookViewId="0"/>
  </sheetViews>
  <sheetFormatPr defaultRowHeight="12.75"/>
  <cols>
    <col min="1" max="1" width="4.7109375" style="7" customWidth="1"/>
    <col min="2" max="2" width="29.42578125" style="7" customWidth="1"/>
    <col min="3" max="4" width="27" style="7" customWidth="1"/>
    <col min="5" max="5" width="24.28515625" style="7" customWidth="1"/>
    <col min="6" max="6" width="45.28515625" style="7" customWidth="1"/>
    <col min="7" max="16384" width="9.140625" style="7"/>
  </cols>
  <sheetData>
    <row r="1" spans="2:6" ht="20.100000000000001" customHeight="1" thickBot="1"/>
    <row r="2" spans="2:6" ht="50.25" customHeight="1" thickBot="1">
      <c r="B2" s="342" t="s">
        <v>55</v>
      </c>
      <c r="C2" s="343"/>
      <c r="D2" s="343"/>
      <c r="E2" s="343"/>
      <c r="F2" s="344"/>
    </row>
    <row r="3" spans="2:6" ht="29.25" customHeight="1">
      <c r="B3" s="345" t="s">
        <v>76</v>
      </c>
      <c r="C3" s="346"/>
      <c r="D3" s="346"/>
      <c r="E3" s="346"/>
      <c r="F3" s="347"/>
    </row>
    <row r="4" spans="2:6" ht="15">
      <c r="B4" s="103" t="s">
        <v>10</v>
      </c>
      <c r="C4" s="104" t="s">
        <v>11</v>
      </c>
      <c r="D4" s="104" t="s">
        <v>12</v>
      </c>
      <c r="E4" s="350" t="s">
        <v>35</v>
      </c>
      <c r="F4" s="351"/>
    </row>
    <row r="5" spans="2:6" ht="15">
      <c r="B5" s="105" t="s">
        <v>13</v>
      </c>
      <c r="C5" s="108" t="s">
        <v>44</v>
      </c>
      <c r="D5" s="108" t="s">
        <v>15</v>
      </c>
      <c r="E5" s="337" t="s">
        <v>45</v>
      </c>
      <c r="F5" s="338"/>
    </row>
    <row r="6" spans="2:6" ht="30">
      <c r="B6" s="105"/>
      <c r="C6" s="109" t="s">
        <v>14</v>
      </c>
      <c r="D6" s="109" t="s">
        <v>15</v>
      </c>
      <c r="E6" s="337"/>
      <c r="F6" s="338"/>
    </row>
    <row r="7" spans="2:6" ht="53.25" customHeight="1">
      <c r="B7" s="105" t="s">
        <v>17</v>
      </c>
      <c r="C7" s="109" t="s">
        <v>41</v>
      </c>
      <c r="D7" s="109" t="s">
        <v>42</v>
      </c>
      <c r="E7" s="337" t="s">
        <v>225</v>
      </c>
      <c r="F7" s="338"/>
    </row>
    <row r="8" spans="2:6" ht="15">
      <c r="B8" s="105" t="s">
        <v>18</v>
      </c>
      <c r="C8" s="109" t="s">
        <v>40</v>
      </c>
      <c r="D8" s="109" t="s">
        <v>19</v>
      </c>
      <c r="E8" s="337" t="s">
        <v>46</v>
      </c>
      <c r="F8" s="338"/>
    </row>
    <row r="9" spans="2:6" ht="30">
      <c r="B9" s="105" t="s">
        <v>153</v>
      </c>
      <c r="C9" s="109" t="s">
        <v>154</v>
      </c>
      <c r="D9" s="109" t="s">
        <v>15</v>
      </c>
      <c r="E9" s="352"/>
      <c r="F9" s="353"/>
    </row>
    <row r="10" spans="2:6" ht="15.75">
      <c r="B10" s="106"/>
      <c r="C10" s="109" t="s">
        <v>155</v>
      </c>
      <c r="D10" s="109" t="s">
        <v>15</v>
      </c>
      <c r="E10" s="352"/>
      <c r="F10" s="353"/>
    </row>
    <row r="11" spans="2:6" ht="15">
      <c r="B11" s="105" t="s">
        <v>20</v>
      </c>
      <c r="C11" s="109" t="s">
        <v>21</v>
      </c>
      <c r="D11" s="109" t="s">
        <v>48</v>
      </c>
      <c r="E11" s="337"/>
      <c r="F11" s="338"/>
    </row>
    <row r="12" spans="2:6" ht="15.75" thickBot="1">
      <c r="B12" s="107"/>
      <c r="C12" s="110" t="s">
        <v>43</v>
      </c>
      <c r="D12" s="110" t="s">
        <v>16</v>
      </c>
      <c r="E12" s="348"/>
      <c r="F12" s="349"/>
    </row>
    <row r="13" spans="2:6">
      <c r="B13" s="4"/>
      <c r="C13" s="5"/>
      <c r="D13" s="5"/>
      <c r="E13" s="6"/>
      <c r="F13" s="6"/>
    </row>
    <row r="14" spans="2:6" ht="13.5" thickBot="1"/>
    <row r="15" spans="2:6" ht="38.25" customHeight="1" thickBot="1">
      <c r="B15" s="339" t="s">
        <v>331</v>
      </c>
      <c r="C15" s="340"/>
      <c r="D15" s="340"/>
      <c r="E15" s="340"/>
      <c r="F15" s="341"/>
    </row>
    <row r="16" spans="2:6" ht="43.5" customHeight="1">
      <c r="B16" s="334" t="s">
        <v>197</v>
      </c>
      <c r="C16" s="335"/>
      <c r="D16" s="335"/>
      <c r="E16" s="335"/>
      <c r="F16" s="336"/>
    </row>
    <row r="17" spans="2:6" ht="35.25" customHeight="1">
      <c r="B17" s="111" t="s">
        <v>31</v>
      </c>
      <c r="C17" s="113" t="s">
        <v>22</v>
      </c>
      <c r="D17" s="113" t="s">
        <v>23</v>
      </c>
      <c r="E17" s="113" t="s">
        <v>30</v>
      </c>
      <c r="F17" s="114" t="s">
        <v>198</v>
      </c>
    </row>
    <row r="18" spans="2:6" ht="30" customHeight="1">
      <c r="B18" s="115" t="s">
        <v>24</v>
      </c>
      <c r="C18" s="116" t="s">
        <v>25</v>
      </c>
      <c r="D18" s="116" t="s">
        <v>26</v>
      </c>
      <c r="E18" s="116" t="s">
        <v>27</v>
      </c>
      <c r="F18" s="117"/>
    </row>
    <row r="19" spans="2:6" ht="21.75">
      <c r="B19" s="115" t="s">
        <v>332</v>
      </c>
      <c r="C19" s="116" t="s">
        <v>25</v>
      </c>
      <c r="D19" s="116" t="s">
        <v>26</v>
      </c>
      <c r="E19" s="118">
        <v>0.83333333333333337</v>
      </c>
      <c r="F19" s="117" t="s">
        <v>199</v>
      </c>
    </row>
    <row r="20" spans="2:6" ht="19.5">
      <c r="B20" s="119"/>
      <c r="C20" s="120"/>
      <c r="D20" s="120"/>
      <c r="E20" s="120"/>
      <c r="F20" s="121"/>
    </row>
    <row r="21" spans="2:6" ht="19.5">
      <c r="B21" s="119"/>
      <c r="C21" s="120"/>
      <c r="D21" s="120"/>
      <c r="E21" s="120"/>
      <c r="F21" s="121"/>
    </row>
    <row r="22" spans="2:6" ht="20.25" thickBot="1">
      <c r="B22" s="122"/>
      <c r="C22" s="123"/>
      <c r="D22" s="123"/>
      <c r="E22" s="123"/>
      <c r="F22" s="124"/>
    </row>
    <row r="25" spans="2:6" ht="13.5" thickBot="1"/>
    <row r="26" spans="2:6" ht="20.25" thickBot="1">
      <c r="B26" s="339" t="s">
        <v>143</v>
      </c>
      <c r="C26" s="340"/>
      <c r="D26" s="340"/>
      <c r="E26" s="340"/>
      <c r="F26" s="341"/>
    </row>
    <row r="27" spans="2:6" ht="19.5">
      <c r="B27" s="334" t="s">
        <v>144</v>
      </c>
      <c r="C27" s="335"/>
      <c r="D27" s="335"/>
      <c r="E27" s="335"/>
      <c r="F27" s="336"/>
    </row>
    <row r="28" spans="2:6" ht="39.75">
      <c r="B28" s="111" t="s">
        <v>145</v>
      </c>
      <c r="C28" s="357" t="s">
        <v>60</v>
      </c>
      <c r="D28" s="358"/>
      <c r="E28" s="358"/>
      <c r="F28" s="359"/>
    </row>
    <row r="29" spans="2:6" ht="39">
      <c r="B29" s="111" t="s">
        <v>146</v>
      </c>
      <c r="C29" s="360" t="s">
        <v>60</v>
      </c>
      <c r="D29" s="361"/>
      <c r="E29" s="361"/>
      <c r="F29" s="362"/>
    </row>
    <row r="30" spans="2:6" ht="58.5">
      <c r="B30" s="111" t="s">
        <v>147</v>
      </c>
      <c r="C30" s="363" t="s">
        <v>60</v>
      </c>
      <c r="D30" s="361"/>
      <c r="E30" s="361"/>
      <c r="F30" s="362"/>
    </row>
    <row r="31" spans="2:6" ht="20.25">
      <c r="B31" s="111" t="s">
        <v>148</v>
      </c>
      <c r="C31" s="363" t="s">
        <v>60</v>
      </c>
      <c r="D31" s="361"/>
      <c r="E31" s="361"/>
      <c r="F31" s="362"/>
    </row>
    <row r="32" spans="2:6" ht="58.5">
      <c r="B32" s="111" t="s">
        <v>149</v>
      </c>
      <c r="C32" s="363" t="s">
        <v>60</v>
      </c>
      <c r="D32" s="361"/>
      <c r="E32" s="361"/>
      <c r="F32" s="362"/>
    </row>
    <row r="33" spans="2:6" ht="21" thickBot="1">
      <c r="B33" s="112" t="s">
        <v>150</v>
      </c>
      <c r="C33" s="354" t="s">
        <v>60</v>
      </c>
      <c r="D33" s="355"/>
      <c r="E33" s="355"/>
      <c r="F33" s="356"/>
    </row>
    <row r="37" spans="2:6">
      <c r="B37" s="10" t="s">
        <v>12</v>
      </c>
      <c r="C37" s="10" t="s">
        <v>57</v>
      </c>
      <c r="D37" s="10" t="s">
        <v>16</v>
      </c>
    </row>
    <row r="38" spans="2:6">
      <c r="B38" s="10" t="s">
        <v>36</v>
      </c>
      <c r="C38" s="10" t="s">
        <v>58</v>
      </c>
      <c r="D38" s="10" t="s">
        <v>48</v>
      </c>
    </row>
    <row r="39" spans="2:6">
      <c r="B39" s="10" t="s">
        <v>37</v>
      </c>
      <c r="C39" s="10" t="s">
        <v>47</v>
      </c>
    </row>
    <row r="40" spans="2:6">
      <c r="B40" s="10" t="s">
        <v>38</v>
      </c>
    </row>
    <row r="41" spans="2:6">
      <c r="B41" s="10" t="s">
        <v>39</v>
      </c>
    </row>
  </sheetData>
  <mergeCells count="21">
    <mergeCell ref="C33:F33"/>
    <mergeCell ref="C28:F28"/>
    <mergeCell ref="C29:F29"/>
    <mergeCell ref="C30:F30"/>
    <mergeCell ref="C31:F31"/>
    <mergeCell ref="C32:F32"/>
    <mergeCell ref="B27:F27"/>
    <mergeCell ref="E8:F8"/>
    <mergeCell ref="E11:F11"/>
    <mergeCell ref="B26:F26"/>
    <mergeCell ref="B2:F2"/>
    <mergeCell ref="B3:F3"/>
    <mergeCell ref="E12:F12"/>
    <mergeCell ref="B16:F16"/>
    <mergeCell ref="B15:F15"/>
    <mergeCell ref="E4:F4"/>
    <mergeCell ref="E9:F9"/>
    <mergeCell ref="E10:F10"/>
    <mergeCell ref="E7:F7"/>
    <mergeCell ref="E5:F5"/>
    <mergeCell ref="E6:F6"/>
  </mergeCells>
  <phoneticPr fontId="5" type="noConversion"/>
  <dataValidations count="3">
    <dataValidation type="list" allowBlank="1" showInputMessage="1" showErrorMessage="1" sqref="E11:F11">
      <formula1>$C$37:$C$39</formula1>
    </dataValidation>
    <dataValidation type="list" allowBlank="1" showInputMessage="1" showErrorMessage="1" sqref="E12:F13">
      <formula1>$D$37:$D$38</formula1>
    </dataValidation>
    <dataValidation type="list" allowBlank="1" showInputMessage="1" showErrorMessage="1" sqref="E6:F6">
      <formula1>$B$37:$B$41</formula1>
    </dataValidation>
  </dataValidation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6"/>
  <dimension ref="B1:F24"/>
  <sheetViews>
    <sheetView zoomScale="85" workbookViewId="0">
      <selection activeCell="B6" sqref="B6"/>
    </sheetView>
  </sheetViews>
  <sheetFormatPr defaultRowHeight="12.75"/>
  <cols>
    <col min="1" max="1" width="4.7109375" style="13" customWidth="1"/>
    <col min="2" max="2" width="18.5703125" style="13" customWidth="1"/>
    <col min="3" max="3" width="23.42578125" style="13" customWidth="1"/>
    <col min="4" max="4" width="17.140625" style="13" customWidth="1"/>
    <col min="5" max="5" width="27" style="13" customWidth="1"/>
    <col min="6" max="6" width="80" style="13" customWidth="1"/>
    <col min="7" max="16384" width="9.140625" style="13"/>
  </cols>
  <sheetData>
    <row r="1" spans="2:6" ht="20.100000000000001" customHeight="1" thickBot="1"/>
    <row r="2" spans="2:6" s="1" customFormat="1" ht="37.5" customHeight="1" thickBot="1">
      <c r="B2" s="231" t="s">
        <v>54</v>
      </c>
      <c r="C2" s="364"/>
      <c r="D2" s="364"/>
      <c r="E2" s="364"/>
      <c r="F2" s="365"/>
    </row>
    <row r="3" spans="2:6" s="1" customFormat="1" ht="48.75" customHeight="1">
      <c r="B3" s="125" t="s">
        <v>8</v>
      </c>
      <c r="C3" s="126" t="s">
        <v>7</v>
      </c>
      <c r="D3" s="126" t="s">
        <v>4</v>
      </c>
      <c r="E3" s="126" t="s">
        <v>77</v>
      </c>
      <c r="F3" s="127" t="s">
        <v>9</v>
      </c>
    </row>
    <row r="4" spans="2:6" ht="20.25">
      <c r="B4" s="128">
        <v>1</v>
      </c>
      <c r="C4" s="129" t="s">
        <v>5</v>
      </c>
      <c r="D4" s="130">
        <v>38630</v>
      </c>
      <c r="E4" s="130" t="s">
        <v>56</v>
      </c>
      <c r="F4" s="131" t="s">
        <v>6</v>
      </c>
    </row>
    <row r="5" spans="2:6" ht="20.25">
      <c r="B5" s="132">
        <v>1</v>
      </c>
      <c r="C5" s="133" t="s">
        <v>287</v>
      </c>
      <c r="D5" s="138">
        <v>40106</v>
      </c>
      <c r="E5" s="133">
        <v>123456789</v>
      </c>
      <c r="F5" s="134" t="s">
        <v>6</v>
      </c>
    </row>
    <row r="6" spans="2:6" ht="20.25">
      <c r="B6" s="132"/>
      <c r="C6" s="133"/>
      <c r="D6" s="133"/>
      <c r="E6" s="133"/>
      <c r="F6" s="134"/>
    </row>
    <row r="7" spans="2:6" ht="20.25">
      <c r="B7" s="132"/>
      <c r="C7" s="133"/>
      <c r="D7" s="133"/>
      <c r="E7" s="133"/>
      <c r="F7" s="134"/>
    </row>
    <row r="8" spans="2:6" ht="20.25">
      <c r="B8" s="132"/>
      <c r="C8" s="133"/>
      <c r="D8" s="133"/>
      <c r="E8" s="133"/>
      <c r="F8" s="134"/>
    </row>
    <row r="9" spans="2:6" ht="20.25">
      <c r="B9" s="132"/>
      <c r="C9" s="133"/>
      <c r="D9" s="133"/>
      <c r="E9" s="133"/>
      <c r="F9" s="134"/>
    </row>
    <row r="10" spans="2:6" ht="20.25">
      <c r="B10" s="132"/>
      <c r="C10" s="133"/>
      <c r="D10" s="133"/>
      <c r="E10" s="133"/>
      <c r="F10" s="134"/>
    </row>
    <row r="11" spans="2:6" ht="20.25">
      <c r="B11" s="132"/>
      <c r="C11" s="133"/>
      <c r="D11" s="133"/>
      <c r="E11" s="133"/>
      <c r="F11" s="134"/>
    </row>
    <row r="12" spans="2:6" ht="20.25">
      <c r="B12" s="132"/>
      <c r="C12" s="133"/>
      <c r="D12" s="133"/>
      <c r="E12" s="133"/>
      <c r="F12" s="134"/>
    </row>
    <row r="13" spans="2:6" ht="20.25">
      <c r="B13" s="132"/>
      <c r="C13" s="133"/>
      <c r="D13" s="133"/>
      <c r="E13" s="133"/>
      <c r="F13" s="134"/>
    </row>
    <row r="14" spans="2:6" ht="20.25">
      <c r="B14" s="132"/>
      <c r="C14" s="133"/>
      <c r="D14" s="133"/>
      <c r="E14" s="133"/>
      <c r="F14" s="134"/>
    </row>
    <row r="15" spans="2:6" ht="20.25">
      <c r="B15" s="132"/>
      <c r="C15" s="133"/>
      <c r="D15" s="133"/>
      <c r="E15" s="133"/>
      <c r="F15" s="134"/>
    </row>
    <row r="16" spans="2:6" ht="20.25">
      <c r="B16" s="132"/>
      <c r="C16" s="133"/>
      <c r="D16" s="133"/>
      <c r="E16" s="133"/>
      <c r="F16" s="134"/>
    </row>
    <row r="17" spans="2:6" ht="20.25">
      <c r="B17" s="132"/>
      <c r="C17" s="133"/>
      <c r="D17" s="133"/>
      <c r="E17" s="133"/>
      <c r="F17" s="134"/>
    </row>
    <row r="18" spans="2:6" ht="20.25">
      <c r="B18" s="132"/>
      <c r="C18" s="133"/>
      <c r="D18" s="133"/>
      <c r="E18" s="133"/>
      <c r="F18" s="134"/>
    </row>
    <row r="19" spans="2:6" ht="20.25">
      <c r="B19" s="132"/>
      <c r="C19" s="133"/>
      <c r="D19" s="133"/>
      <c r="E19" s="133"/>
      <c r="F19" s="134"/>
    </row>
    <row r="20" spans="2:6" ht="20.25">
      <c r="B20" s="132"/>
      <c r="C20" s="133"/>
      <c r="D20" s="133"/>
      <c r="E20" s="133"/>
      <c r="F20" s="134"/>
    </row>
    <row r="21" spans="2:6" ht="20.25">
      <c r="B21" s="132"/>
      <c r="C21" s="133"/>
      <c r="D21" s="133"/>
      <c r="E21" s="133"/>
      <c r="F21" s="134"/>
    </row>
    <row r="22" spans="2:6" ht="21" thickBot="1">
      <c r="B22" s="135"/>
      <c r="C22" s="136"/>
      <c r="D22" s="136"/>
      <c r="E22" s="136"/>
      <c r="F22" s="137"/>
    </row>
    <row r="23" spans="2:6">
      <c r="B23" s="14"/>
    </row>
    <row r="24" spans="2:6">
      <c r="B24" s="14"/>
    </row>
  </sheetData>
  <mergeCells count="1">
    <mergeCell ref="B2:F2"/>
  </mergeCells>
  <phoneticPr fontId="5" type="noConversion"/>
  <pageMargins left="0.75" right="0.75" top="1" bottom="1" header="0.5" footer="0.5"/>
  <pageSetup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sheetPr codeName="Sheet3">
    <pageSetUpPr fitToPage="1"/>
  </sheetPr>
  <dimension ref="A1:U103"/>
  <sheetViews>
    <sheetView zoomScale="90" zoomScaleNormal="90" workbookViewId="0"/>
  </sheetViews>
  <sheetFormatPr defaultRowHeight="12.75"/>
  <cols>
    <col min="1" max="1" width="6" style="7" customWidth="1"/>
    <col min="2" max="2" width="42.7109375" style="7" bestFit="1" customWidth="1"/>
    <col min="3" max="3" width="50.28515625" style="7" customWidth="1"/>
    <col min="4" max="4" width="7" style="7" customWidth="1"/>
    <col min="5" max="5" width="4.42578125" style="7" customWidth="1"/>
    <col min="6" max="6" width="34.5703125" style="3" customWidth="1"/>
    <col min="7" max="7" width="41.7109375" style="7" bestFit="1" customWidth="1"/>
    <col min="8" max="8" width="9.85546875" style="7" customWidth="1"/>
    <col min="9" max="9" width="11.28515625" style="7" customWidth="1"/>
    <col min="10" max="10" width="5.7109375" style="7" bestFit="1" customWidth="1"/>
    <col min="11" max="11" width="9.85546875" style="7" customWidth="1"/>
    <col min="12" max="12" width="20" style="7" hidden="1" customWidth="1"/>
    <col min="13" max="13" width="22.85546875" style="7" hidden="1" customWidth="1"/>
    <col min="14" max="14" width="42.140625" style="7" hidden="1" customWidth="1"/>
    <col min="15" max="15" width="49.140625" style="7" hidden="1" customWidth="1"/>
    <col min="16" max="16" width="9.140625" style="7" hidden="1" customWidth="1"/>
    <col min="17" max="17" width="44.140625" style="7" hidden="1" customWidth="1"/>
    <col min="18" max="18" width="39.140625" style="7" hidden="1" customWidth="1"/>
    <col min="19" max="19" width="29" style="7" hidden="1" customWidth="1"/>
    <col min="20" max="20" width="18.85546875" style="7" hidden="1" customWidth="1"/>
    <col min="21" max="21" width="18.140625" style="7" hidden="1" customWidth="1"/>
    <col min="22" max="16384" width="9.140625" style="7"/>
  </cols>
  <sheetData>
    <row r="1" spans="1:21" ht="28.5" customHeight="1" thickBot="1">
      <c r="A1" s="34"/>
      <c r="B1" s="69" t="s">
        <v>164</v>
      </c>
      <c r="C1" s="280" t="s">
        <v>165</v>
      </c>
      <c r="D1" s="281"/>
      <c r="E1" s="282"/>
      <c r="F1" s="67" t="s">
        <v>166</v>
      </c>
      <c r="G1" s="68" t="s">
        <v>167</v>
      </c>
      <c r="H1" s="34"/>
      <c r="I1" s="34"/>
      <c r="J1" s="34"/>
      <c r="K1" s="34"/>
    </row>
    <row r="2" spans="1:21" ht="12" customHeight="1" thickBot="1">
      <c r="A2" s="34"/>
      <c r="H2" s="34"/>
      <c r="I2" s="34"/>
      <c r="J2" s="34"/>
      <c r="K2" s="34"/>
    </row>
    <row r="3" spans="1:21" ht="24.75" customHeight="1" thickBot="1">
      <c r="A3" s="34"/>
      <c r="B3" s="247" t="s">
        <v>72</v>
      </c>
      <c r="C3" s="286"/>
      <c r="D3" s="286"/>
      <c r="E3" s="286"/>
      <c r="F3" s="286"/>
      <c r="G3" s="287"/>
      <c r="H3" s="40"/>
      <c r="I3" s="34"/>
      <c r="J3" s="34"/>
      <c r="K3" s="34"/>
      <c r="L3" s="7" t="s">
        <v>204</v>
      </c>
    </row>
    <row r="4" spans="1:21" ht="12.75" customHeight="1" thickBot="1">
      <c r="A4" s="34"/>
      <c r="B4" s="296" t="s">
        <v>229</v>
      </c>
      <c r="C4" s="297"/>
      <c r="D4" s="297"/>
      <c r="E4" s="297"/>
      <c r="F4" s="297"/>
      <c r="G4" s="298"/>
      <c r="H4" s="40"/>
      <c r="I4" s="34"/>
      <c r="J4" s="34"/>
      <c r="K4" s="34"/>
      <c r="L4" s="2" t="s">
        <v>201</v>
      </c>
    </row>
    <row r="5" spans="1:21" ht="9.75" customHeight="1" thickBot="1">
      <c r="A5" s="34"/>
      <c r="B5" s="288" t="s">
        <v>73</v>
      </c>
      <c r="C5" s="289"/>
      <c r="D5" s="289"/>
      <c r="E5" s="289"/>
      <c r="F5" s="289"/>
      <c r="G5" s="290"/>
      <c r="H5" s="40"/>
      <c r="I5" s="34"/>
      <c r="J5" s="34"/>
      <c r="K5" s="34"/>
      <c r="L5" s="2" t="s">
        <v>202</v>
      </c>
      <c r="M5" s="7" t="s">
        <v>57</v>
      </c>
    </row>
    <row r="6" spans="1:21" ht="12.75" customHeight="1" thickBot="1">
      <c r="A6" s="34"/>
      <c r="B6" s="288"/>
      <c r="C6" s="289"/>
      <c r="D6" s="289"/>
      <c r="E6" s="289"/>
      <c r="F6" s="289"/>
      <c r="G6" s="290"/>
      <c r="H6" s="40"/>
      <c r="I6" s="34"/>
      <c r="J6" s="34"/>
      <c r="K6" s="34"/>
      <c r="L6" s="2" t="s">
        <v>203</v>
      </c>
      <c r="M6" s="7" t="s">
        <v>58</v>
      </c>
    </row>
    <row r="7" spans="1:21" ht="25.5" customHeight="1" thickBot="1">
      <c r="A7" s="34"/>
      <c r="B7" s="291"/>
      <c r="C7" s="292"/>
      <c r="D7" s="292"/>
      <c r="E7" s="292"/>
      <c r="F7" s="292"/>
      <c r="G7" s="293"/>
      <c r="H7" s="40"/>
      <c r="I7" s="34"/>
      <c r="J7" s="34"/>
      <c r="K7" s="34"/>
      <c r="L7" s="2" t="s">
        <v>206</v>
      </c>
      <c r="M7" s="7" t="s">
        <v>67</v>
      </c>
    </row>
    <row r="8" spans="1:21" ht="25.5" customHeight="1" thickBot="1">
      <c r="A8" s="34"/>
      <c r="B8" s="302" t="s">
        <v>190</v>
      </c>
      <c r="C8" s="303"/>
      <c r="D8" s="37"/>
      <c r="E8" s="283" t="s">
        <v>191</v>
      </c>
      <c r="F8" s="284"/>
      <c r="G8" s="285"/>
      <c r="H8" s="40"/>
      <c r="I8" s="34"/>
      <c r="J8" s="34"/>
      <c r="K8" s="34"/>
      <c r="L8" s="2" t="s">
        <v>207</v>
      </c>
      <c r="M8" s="7" t="s">
        <v>58</v>
      </c>
    </row>
    <row r="9" spans="1:21" ht="14.25" customHeight="1" thickBot="1">
      <c r="A9" s="34"/>
      <c r="B9" s="49"/>
      <c r="C9" s="34"/>
      <c r="D9" s="34"/>
      <c r="E9" s="26"/>
      <c r="F9" s="34"/>
      <c r="G9" s="39"/>
      <c r="H9" s="40"/>
      <c r="I9" s="34"/>
      <c r="J9" s="34"/>
      <c r="K9" s="34"/>
      <c r="L9" s="2" t="s">
        <v>205</v>
      </c>
      <c r="Q9" s="23" t="s">
        <v>78</v>
      </c>
      <c r="R9" s="23" t="s">
        <v>79</v>
      </c>
      <c r="S9" s="59" t="s">
        <v>248</v>
      </c>
      <c r="T9" s="7" t="s">
        <v>252</v>
      </c>
      <c r="U9" s="7" t="s">
        <v>259</v>
      </c>
    </row>
    <row r="10" spans="1:21" ht="13.5" thickBot="1">
      <c r="A10" s="34"/>
      <c r="B10" s="49"/>
      <c r="C10" s="34"/>
      <c r="D10" s="34"/>
      <c r="E10" s="26"/>
      <c r="F10" s="16" t="s">
        <v>2</v>
      </c>
      <c r="G10" s="15"/>
      <c r="H10" s="40"/>
      <c r="I10" s="34"/>
      <c r="J10" s="34"/>
      <c r="K10" s="34"/>
      <c r="L10" s="2"/>
      <c r="Q10" s="23"/>
      <c r="R10" s="23"/>
    </row>
    <row r="11" spans="1:21" ht="15" customHeight="1" thickBot="1">
      <c r="A11" s="34"/>
      <c r="B11" s="16" t="s">
        <v>32</v>
      </c>
      <c r="C11" s="15"/>
      <c r="D11" s="34"/>
      <c r="E11" s="26"/>
      <c r="F11" s="18" t="s">
        <v>184</v>
      </c>
      <c r="G11" s="62" t="s">
        <v>291</v>
      </c>
      <c r="H11" s="40"/>
      <c r="I11" s="34"/>
      <c r="J11" s="34"/>
      <c r="K11" s="34"/>
      <c r="L11" s="35" t="s">
        <v>245</v>
      </c>
      <c r="M11" s="7" t="s">
        <v>161</v>
      </c>
      <c r="N11" s="7" t="s">
        <v>134</v>
      </c>
      <c r="O11" s="7" t="s">
        <v>230</v>
      </c>
      <c r="P11" s="47" t="s">
        <v>237</v>
      </c>
      <c r="Q11" t="s">
        <v>80</v>
      </c>
      <c r="R11"/>
    </row>
    <row r="12" spans="1:21" ht="15" customHeight="1" thickBot="1">
      <c r="A12" s="34"/>
      <c r="B12" s="19" t="s">
        <v>176</v>
      </c>
      <c r="C12" s="60" t="s">
        <v>140</v>
      </c>
      <c r="D12" s="34"/>
      <c r="E12" s="26"/>
      <c r="F12" s="19" t="s">
        <v>151</v>
      </c>
      <c r="G12" s="60" t="s">
        <v>251</v>
      </c>
      <c r="H12" s="40"/>
      <c r="I12" s="34"/>
      <c r="J12" s="34"/>
      <c r="K12" s="34"/>
      <c r="L12" s="35" t="s">
        <v>51</v>
      </c>
      <c r="M12" s="7" t="s">
        <v>162</v>
      </c>
      <c r="N12" s="7" t="s">
        <v>135</v>
      </c>
      <c r="O12" s="7" t="s">
        <v>231</v>
      </c>
      <c r="P12" s="47" t="s">
        <v>238</v>
      </c>
      <c r="Q12" t="s">
        <v>84</v>
      </c>
      <c r="R12" t="s">
        <v>81</v>
      </c>
      <c r="S12" s="7" t="s">
        <v>249</v>
      </c>
      <c r="T12" s="3" t="s">
        <v>64</v>
      </c>
      <c r="U12" s="7" t="s">
        <v>253</v>
      </c>
    </row>
    <row r="13" spans="1:21" ht="15" customHeight="1" thickBot="1">
      <c r="A13" s="34"/>
      <c r="B13" s="19" t="s">
        <v>177</v>
      </c>
      <c r="C13" s="60" t="s">
        <v>120</v>
      </c>
      <c r="D13" s="34"/>
      <c r="E13" s="26"/>
      <c r="F13" s="19" t="s">
        <v>61</v>
      </c>
      <c r="G13" s="63" t="s">
        <v>185</v>
      </c>
      <c r="H13" s="40"/>
      <c r="I13" s="34"/>
      <c r="J13" s="34"/>
      <c r="K13" s="34"/>
      <c r="L13" s="35" t="s">
        <v>52</v>
      </c>
      <c r="M13" s="7" t="s">
        <v>163</v>
      </c>
      <c r="N13" s="7" t="s">
        <v>227</v>
      </c>
      <c r="O13" s="7" t="s">
        <v>232</v>
      </c>
      <c r="P13" s="47" t="s">
        <v>239</v>
      </c>
      <c r="Q13" t="s">
        <v>94</v>
      </c>
      <c r="R13" t="s">
        <v>82</v>
      </c>
      <c r="S13" s="7" t="s">
        <v>250</v>
      </c>
      <c r="T13" s="3" t="s">
        <v>185</v>
      </c>
      <c r="U13" s="7" t="s">
        <v>254</v>
      </c>
    </row>
    <row r="14" spans="1:21" ht="39" thickBot="1">
      <c r="A14" s="34"/>
      <c r="B14" s="19" t="s">
        <v>33</v>
      </c>
      <c r="C14" s="60" t="s">
        <v>287</v>
      </c>
      <c r="D14" s="34"/>
      <c r="E14" s="26"/>
      <c r="F14" s="54" t="s">
        <v>188</v>
      </c>
      <c r="G14" s="63">
        <v>113963</v>
      </c>
      <c r="H14" s="40"/>
      <c r="I14" s="34"/>
      <c r="J14" s="34"/>
      <c r="K14" s="34"/>
      <c r="L14" s="35" t="s">
        <v>246</v>
      </c>
      <c r="N14" s="7" t="s">
        <v>136</v>
      </c>
      <c r="O14" s="7" t="s">
        <v>233</v>
      </c>
      <c r="P14" s="47" t="s">
        <v>240</v>
      </c>
      <c r="Q14" t="s">
        <v>101</v>
      </c>
      <c r="R14" t="s">
        <v>83</v>
      </c>
      <c r="S14" s="7" t="s">
        <v>251</v>
      </c>
      <c r="T14" s="3" t="s">
        <v>186</v>
      </c>
      <c r="U14" s="7" t="s">
        <v>255</v>
      </c>
    </row>
    <row r="15" spans="1:21" ht="39" thickBot="1">
      <c r="A15" s="34"/>
      <c r="B15" s="19" t="s">
        <v>0</v>
      </c>
      <c r="C15" s="61" t="s">
        <v>288</v>
      </c>
      <c r="D15" s="34"/>
      <c r="E15" s="26"/>
      <c r="F15" s="389" t="s">
        <v>68</v>
      </c>
      <c r="G15" s="390" t="s">
        <v>69</v>
      </c>
      <c r="H15" s="40"/>
      <c r="I15" s="34"/>
      <c r="J15" s="34"/>
      <c r="K15" s="34"/>
      <c r="L15" s="35"/>
      <c r="N15" s="7" t="s">
        <v>137</v>
      </c>
      <c r="O15" s="7" t="s">
        <v>233</v>
      </c>
      <c r="P15" s="47" t="s">
        <v>240</v>
      </c>
      <c r="Q15" t="s">
        <v>106</v>
      </c>
      <c r="R15"/>
      <c r="T15" s="3" t="s">
        <v>187</v>
      </c>
      <c r="U15" s="7" t="s">
        <v>256</v>
      </c>
    </row>
    <row r="16" spans="1:21" ht="26.25" thickBot="1">
      <c r="A16" s="34"/>
      <c r="B16" s="20" t="s">
        <v>1</v>
      </c>
      <c r="C16" s="91" t="s">
        <v>289</v>
      </c>
      <c r="D16" s="34"/>
      <c r="E16" s="26"/>
      <c r="F16" s="389"/>
      <c r="G16" s="391"/>
      <c r="H16" s="40"/>
      <c r="I16" s="34"/>
      <c r="J16" s="34"/>
      <c r="K16" s="34"/>
      <c r="L16" s="7" t="s">
        <v>290</v>
      </c>
      <c r="N16" s="7" t="s">
        <v>138</v>
      </c>
      <c r="O16" s="7" t="s">
        <v>230</v>
      </c>
      <c r="P16" s="47" t="s">
        <v>237</v>
      </c>
      <c r="Q16" t="s">
        <v>110</v>
      </c>
      <c r="R16"/>
      <c r="T16" s="3" t="s">
        <v>65</v>
      </c>
      <c r="U16" s="7" t="s">
        <v>261</v>
      </c>
    </row>
    <row r="17" spans="1:21" ht="39" thickBot="1">
      <c r="A17" s="34"/>
      <c r="B17" s="8"/>
      <c r="C17" s="3"/>
      <c r="D17" s="34"/>
      <c r="E17" s="26"/>
      <c r="F17" s="54" t="s">
        <v>152</v>
      </c>
      <c r="G17" s="63" t="s">
        <v>254</v>
      </c>
      <c r="H17" s="40"/>
      <c r="I17" s="34"/>
      <c r="J17" s="34"/>
      <c r="K17" s="34"/>
      <c r="L17" s="7" t="s">
        <v>292</v>
      </c>
      <c r="N17" s="7" t="s">
        <v>139</v>
      </c>
      <c r="O17" s="7" t="s">
        <v>234</v>
      </c>
      <c r="P17" s="47" t="s">
        <v>241</v>
      </c>
      <c r="Q17" t="s">
        <v>118</v>
      </c>
      <c r="R17"/>
      <c r="T17" s="3" t="s">
        <v>66</v>
      </c>
      <c r="U17" s="7" t="s">
        <v>257</v>
      </c>
    </row>
    <row r="18" spans="1:21" ht="24" customHeight="1" thickBot="1">
      <c r="A18" s="34"/>
      <c r="B18" s="16" t="s">
        <v>182</v>
      </c>
      <c r="C18" s="17"/>
      <c r="D18" s="34"/>
      <c r="E18" s="26"/>
      <c r="F18" s="43" t="s">
        <v>247</v>
      </c>
      <c r="G18" s="65"/>
      <c r="H18" s="40"/>
      <c r="I18" s="34"/>
      <c r="J18" s="34"/>
      <c r="K18" s="34"/>
      <c r="L18" s="7" t="str">
        <f>IF(RIGHT(L17,3)=":V1",MID(MID(L17,1,LEN(L17)-3),FIND(":",L175,1)+1,256),MID(L17,FIND(":",L17,1)+1,256))</f>
        <v>w_swsuponline_prd</v>
      </c>
      <c r="M18" s="7" t="s">
        <v>69</v>
      </c>
      <c r="N18" s="7" t="s">
        <v>140</v>
      </c>
      <c r="O18" s="7" t="s">
        <v>235</v>
      </c>
      <c r="P18" s="47" t="s">
        <v>242</v>
      </c>
      <c r="Q18" t="s">
        <v>126</v>
      </c>
      <c r="R18" t="s">
        <v>85</v>
      </c>
      <c r="T18" s="3" t="s">
        <v>221</v>
      </c>
      <c r="U18" s="7" t="s">
        <v>258</v>
      </c>
    </row>
    <row r="19" spans="1:21" ht="36" customHeight="1" thickBot="1">
      <c r="A19" s="34"/>
      <c r="B19" s="70" t="s">
        <v>262</v>
      </c>
      <c r="C19" s="64" t="s">
        <v>290</v>
      </c>
      <c r="D19" s="34"/>
      <c r="E19" s="26"/>
      <c r="F19" s="44" t="s">
        <v>226</v>
      </c>
      <c r="G19" s="25"/>
      <c r="H19" s="40"/>
      <c r="I19" s="34"/>
      <c r="J19" s="34"/>
      <c r="K19" s="34"/>
      <c r="L19" s="7" t="str">
        <f>IF(RIGHT(L17,3)=":V1",MID(MID(L17,1,LEN(L17)-3),FIND(":",L17,1)+1,256),MID(L17,FIND(":",L17,1)+1,256))</f>
        <v>w_swsuponline_prd</v>
      </c>
      <c r="M19" s="7" t="s">
        <v>70</v>
      </c>
      <c r="N19" s="7" t="s">
        <v>141</v>
      </c>
      <c r="O19" s="7" t="s">
        <v>230</v>
      </c>
      <c r="P19" s="47" t="s">
        <v>237</v>
      </c>
      <c r="Q19" t="s">
        <v>132</v>
      </c>
      <c r="R19" t="s">
        <v>86</v>
      </c>
      <c r="T19" s="3" t="s">
        <v>222</v>
      </c>
      <c r="U19" s="7" t="s">
        <v>260</v>
      </c>
    </row>
    <row r="20" spans="1:21" ht="28.5" customHeight="1" thickBot="1">
      <c r="A20" s="34"/>
      <c r="B20" s="24" t="s">
        <v>183</v>
      </c>
      <c r="C20" s="66" t="str">
        <f>LOWER(L33)</f>
        <v>w-swsuponline:prd-app</v>
      </c>
      <c r="D20" s="34"/>
      <c r="E20" s="26"/>
      <c r="F20" s="26"/>
      <c r="G20" s="27"/>
      <c r="H20" s="40"/>
      <c r="I20" s="34"/>
      <c r="J20" s="34"/>
      <c r="K20" s="34"/>
      <c r="L20" s="7" t="str">
        <f>IF(RIGHT(L18,3)="PRO",L18,(IF(RIGHT(L18,3)="PRD",L18,(IF(RIGHT(L18,3)="ITG",L18,(CONCATENATE(L18,"_PRD")))))))</f>
        <v>w_swsuponline_prd</v>
      </c>
      <c r="M20" s="7" t="s">
        <v>71</v>
      </c>
      <c r="N20" s="7" t="s">
        <v>142</v>
      </c>
      <c r="O20" s="7" t="s">
        <v>236</v>
      </c>
      <c r="P20" s="47" t="s">
        <v>243</v>
      </c>
      <c r="Q20"/>
      <c r="R20" t="s">
        <v>87</v>
      </c>
      <c r="T20" s="3" t="s">
        <v>53</v>
      </c>
    </row>
    <row r="21" spans="1:21" ht="12.75" customHeight="1" thickBot="1">
      <c r="A21" s="34"/>
      <c r="B21" s="8"/>
      <c r="C21" s="48"/>
      <c r="D21" s="34"/>
      <c r="E21" s="26"/>
      <c r="F21" s="392" t="s">
        <v>74</v>
      </c>
      <c r="G21" s="272"/>
      <c r="H21" s="40"/>
      <c r="I21" s="34"/>
      <c r="J21" s="34"/>
      <c r="K21" s="34"/>
      <c r="M21" s="7" t="s">
        <v>189</v>
      </c>
      <c r="N21" s="7" t="s">
        <v>181</v>
      </c>
      <c r="O21" s="7" t="s">
        <v>234</v>
      </c>
      <c r="P21" s="47" t="s">
        <v>241</v>
      </c>
      <c r="Q21"/>
      <c r="R21" t="s">
        <v>88</v>
      </c>
    </row>
    <row r="22" spans="1:21" ht="12" customHeight="1" thickBot="1">
      <c r="A22" s="34"/>
      <c r="B22" s="49"/>
      <c r="C22" s="34"/>
      <c r="D22" s="34"/>
      <c r="E22" s="26"/>
      <c r="F22" s="38" t="s">
        <v>75</v>
      </c>
      <c r="G22" s="71" t="str">
        <f>VLOOKUP(C12,N11:O21,2)</f>
        <v>Kirk Duwe</v>
      </c>
      <c r="H22" s="40"/>
      <c r="I22" s="34"/>
      <c r="J22" s="34"/>
      <c r="K22" s="34"/>
      <c r="Q22"/>
      <c r="R22" t="s">
        <v>89</v>
      </c>
    </row>
    <row r="23" spans="1:21" ht="15.75" customHeight="1" thickBot="1">
      <c r="A23" s="34"/>
      <c r="B23" s="49"/>
      <c r="C23" s="34"/>
      <c r="D23" s="34"/>
      <c r="E23" s="26"/>
      <c r="F23" s="20" t="s">
        <v>1</v>
      </c>
      <c r="G23" s="72" t="str">
        <f>VLOOKUP(C12,N11:P21,3)</f>
        <v>kirk.duwe@hp.com</v>
      </c>
      <c r="H23" s="40"/>
      <c r="I23" s="34"/>
      <c r="J23" s="34"/>
      <c r="K23" s="34"/>
      <c r="Q23"/>
      <c r="R23" t="s">
        <v>90</v>
      </c>
    </row>
    <row r="24" spans="1:21" ht="26.25" thickBot="1">
      <c r="A24" s="34"/>
      <c r="B24" s="50"/>
      <c r="C24" s="51"/>
      <c r="D24" s="51"/>
      <c r="E24" s="28"/>
      <c r="F24" s="51"/>
      <c r="G24" s="52"/>
      <c r="H24" s="40"/>
      <c r="I24" s="34"/>
      <c r="J24" s="34"/>
      <c r="K24" s="34"/>
      <c r="L24" s="7" t="str">
        <f>C19</f>
        <v>hpit:w-swsuponline-prd</v>
      </c>
      <c r="Q24"/>
      <c r="R24" t="s">
        <v>91</v>
      </c>
    </row>
    <row r="25" spans="1:21" ht="13.5" thickBot="1">
      <c r="A25" s="34"/>
      <c r="B25" s="48"/>
      <c r="C25" s="48"/>
      <c r="D25" s="48"/>
      <c r="E25" s="26"/>
      <c r="F25" s="48"/>
      <c r="G25" s="34"/>
      <c r="H25" s="34"/>
      <c r="I25" s="34"/>
      <c r="J25" s="34"/>
      <c r="K25" s="34"/>
      <c r="L25" s="32"/>
      <c r="Q25"/>
      <c r="R25" t="s">
        <v>92</v>
      </c>
    </row>
    <row r="26" spans="1:21" ht="28.5" customHeight="1" thickBot="1">
      <c r="A26" s="34"/>
      <c r="B26" s="393" t="s">
        <v>244</v>
      </c>
      <c r="C26" s="394"/>
      <c r="D26" s="394"/>
      <c r="E26" s="394"/>
      <c r="F26" s="394"/>
      <c r="G26" s="29"/>
      <c r="H26" s="45"/>
      <c r="I26" s="45"/>
      <c r="J26" s="46"/>
      <c r="K26" s="34"/>
      <c r="L26" s="7" t="str">
        <f>IF(RIGHT(C19,3)=":V1",MID(MID(C19,1,LEN(C19)-3),FIND(":",C19,1)+1,256),MID(C19,FIND(":",C19,1)+1,256))</f>
        <v>w-swsuponline-prd</v>
      </c>
      <c r="O26"/>
      <c r="P26"/>
    </row>
    <row r="27" spans="1:21" ht="32.25" customHeight="1" thickBot="1">
      <c r="A27" s="34"/>
      <c r="B27" s="33" t="s">
        <v>192</v>
      </c>
      <c r="C27" s="375" t="str">
        <f>C12</f>
        <v>ITIO</v>
      </c>
      <c r="D27" s="395"/>
      <c r="E27" s="308" t="s">
        <v>283</v>
      </c>
      <c r="F27" s="396"/>
      <c r="G27" s="85" t="str">
        <f>UPPER(IF(RIGHT(C19,3)=":V1",MID(MID(C19,1,LEN(C19)-3),FIND(":",C19,1)+1,256),MID(C19,FIND(":",C19,1)+1,256)))</f>
        <v>W-SWSUPONLINE-PRD</v>
      </c>
      <c r="H27" s="372" t="s">
        <v>285</v>
      </c>
      <c r="I27" s="373"/>
      <c r="J27" s="374"/>
      <c r="K27" s="34"/>
      <c r="L27" s="7" t="str">
        <f>IF(RIGHT(C19,3)=":V1",MID(MID(C19,1,LEN(C19)-3),FIND(":",C19,1)+1,256),MID(C19,FIND(":",C19,1)+1,256))</f>
        <v>w-swsuponline-prd</v>
      </c>
      <c r="M27" s="36" t="s">
        <v>64</v>
      </c>
      <c r="N27" s="35" t="s">
        <v>62</v>
      </c>
      <c r="O27"/>
      <c r="P27" t="s">
        <v>93</v>
      </c>
    </row>
    <row r="28" spans="1:21" ht="33" customHeight="1" thickBot="1">
      <c r="A28" s="34"/>
      <c r="B28" s="33" t="s">
        <v>193</v>
      </c>
      <c r="C28" s="375" t="str">
        <f>UPPER(IF(G18="",CONCATENATE(L20,"_APP"),CONCATENATE(L20,"_",G18)))</f>
        <v>W_SWSUPONLINE_PRD_APP</v>
      </c>
      <c r="D28" s="376"/>
      <c r="E28" s="376"/>
      <c r="F28" s="86" t="s">
        <v>284</v>
      </c>
      <c r="G28" s="53" t="s">
        <v>194</v>
      </c>
      <c r="H28" s="317" t="s">
        <v>245</v>
      </c>
      <c r="I28" s="377"/>
      <c r="J28" s="378"/>
      <c r="K28" s="34"/>
      <c r="L28" s="7" t="str">
        <f>IF(RIGHT(L27,3)="PRO",L27,(IF(RIGHT(L27,3)="PRD",L27,(IF(RIGHT(L27,3)="ITG",L27,(CONCATENATE(L27,"_PRD")))))))</f>
        <v>w-swsuponline-prd</v>
      </c>
      <c r="M28" s="36" t="s">
        <v>185</v>
      </c>
      <c r="N28" s="35" t="s">
        <v>63</v>
      </c>
      <c r="O28"/>
      <c r="P28"/>
    </row>
    <row r="29" spans="1:21" ht="41.25" customHeight="1" thickBot="1">
      <c r="A29" s="34"/>
      <c r="B29" s="33" t="s">
        <v>208</v>
      </c>
      <c r="C29" s="379" t="str">
        <f>G12</f>
        <v>Both (Used internally and Externally)</v>
      </c>
      <c r="D29" s="380"/>
      <c r="E29" s="381"/>
      <c r="F29" s="382" t="s">
        <v>209</v>
      </c>
      <c r="G29" s="383"/>
      <c r="H29" s="384" t="str">
        <f>G13</f>
        <v>HP Passport</v>
      </c>
      <c r="I29" s="384"/>
      <c r="J29" s="385"/>
      <c r="K29" s="34"/>
      <c r="L29" s="7" t="str">
        <f>IF(RIGHT(L26,3)="PRO",L26,(IF(RIGHT(L26,3)="PRD",L26,(IF(RIGHT(L26,3)="ITG",L26,(CONCATENATE(L26,"-PRD")))))))</f>
        <v>w-swsuponline-prd</v>
      </c>
      <c r="M29" s="36" t="s">
        <v>186</v>
      </c>
      <c r="O29" t="s">
        <v>94</v>
      </c>
      <c r="P29" t="s">
        <v>228</v>
      </c>
    </row>
    <row r="30" spans="1:21" ht="37.5" customHeight="1" thickBot="1">
      <c r="A30" s="34"/>
      <c r="B30" s="30" t="s">
        <v>29</v>
      </c>
      <c r="C30" s="386"/>
      <c r="D30" s="387"/>
      <c r="E30" s="387"/>
      <c r="F30" s="387"/>
      <c r="G30" s="387"/>
      <c r="H30" s="387"/>
      <c r="I30" s="387"/>
      <c r="J30" s="388"/>
      <c r="K30" s="34"/>
      <c r="L30" s="7" t="str">
        <f>LEFT(L29,LEN(L29)-4)</f>
        <v>w-swsuponline</v>
      </c>
      <c r="M30" s="36" t="s">
        <v>187</v>
      </c>
      <c r="O30"/>
      <c r="P30"/>
    </row>
    <row r="31" spans="1:21" ht="23.25" customHeight="1" thickBot="1">
      <c r="A31" s="34"/>
      <c r="B31" s="31" t="s">
        <v>196</v>
      </c>
      <c r="C31" s="74" t="s">
        <v>3</v>
      </c>
      <c r="D31" s="41"/>
      <c r="E31" s="41"/>
      <c r="F31" s="42"/>
      <c r="G31" s="41"/>
      <c r="L31" s="7" t="str">
        <f>RIGHT(L28,3)</f>
        <v>prd</v>
      </c>
      <c r="M31" s="36" t="s">
        <v>65</v>
      </c>
      <c r="O31"/>
      <c r="P31" t="s">
        <v>95</v>
      </c>
    </row>
    <row r="32" spans="1:21" ht="13.5" thickBot="1">
      <c r="A32" s="34"/>
      <c r="C32" s="75"/>
      <c r="D32" s="41"/>
      <c r="E32" s="41"/>
      <c r="F32" s="42"/>
      <c r="G32" s="41"/>
      <c r="L32" s="7" t="str">
        <f>IF(G18="","APP",G18)</f>
        <v>APP</v>
      </c>
      <c r="M32" s="36" t="s">
        <v>66</v>
      </c>
      <c r="O32"/>
      <c r="P32" t="s">
        <v>96</v>
      </c>
    </row>
    <row r="33" spans="1:16" ht="24.95" customHeight="1">
      <c r="A33" s="77"/>
      <c r="B33" s="83" t="s">
        <v>272</v>
      </c>
      <c r="C33" s="84" t="s">
        <v>268</v>
      </c>
      <c r="D33" s="41"/>
      <c r="E33" s="41"/>
      <c r="F33" s="42"/>
      <c r="G33" s="41"/>
      <c r="L33" s="1" t="str">
        <f>CONCATENATE(L30,":",L31,"-",L32)</f>
        <v>w-swsuponline:prd-APP</v>
      </c>
      <c r="M33" s="36" t="s">
        <v>221</v>
      </c>
      <c r="O33"/>
      <c r="P33" t="s">
        <v>97</v>
      </c>
    </row>
    <row r="34" spans="1:16" ht="24.95" customHeight="1">
      <c r="A34" s="73"/>
      <c r="B34" s="88" t="s">
        <v>210</v>
      </c>
      <c r="C34" s="87" t="str">
        <f>CONCATENATE($C$28,"_",UPPER(B34))</f>
        <v>W_SWSUPONLINE_PRD_APP_HOME</v>
      </c>
      <c r="D34" s="264" t="s">
        <v>278</v>
      </c>
      <c r="E34" s="265"/>
      <c r="F34" s="265"/>
      <c r="G34" s="265"/>
      <c r="H34" s="243"/>
      <c r="I34" s="243"/>
      <c r="M34" s="36" t="s">
        <v>222</v>
      </c>
      <c r="O34"/>
      <c r="P34"/>
    </row>
    <row r="35" spans="1:16" ht="24.95" customHeight="1">
      <c r="A35" s="77"/>
      <c r="B35" s="370" t="s">
        <v>273</v>
      </c>
      <c r="C35" s="371"/>
      <c r="M35" s="36" t="s">
        <v>53</v>
      </c>
      <c r="O35"/>
      <c r="P35"/>
    </row>
    <row r="36" spans="1:16" ht="24.95" customHeight="1">
      <c r="A36" s="73"/>
      <c r="B36" s="368" t="s">
        <v>293</v>
      </c>
      <c r="C36" s="369"/>
      <c r="O36"/>
      <c r="P36"/>
    </row>
    <row r="37" spans="1:16" ht="24.95" customHeight="1">
      <c r="A37" s="73"/>
      <c r="B37" s="368" t="s">
        <v>294</v>
      </c>
      <c r="C37" s="369"/>
      <c r="E37" s="41"/>
      <c r="F37" s="42"/>
      <c r="G37" s="41"/>
      <c r="O37"/>
      <c r="P37"/>
    </row>
    <row r="38" spans="1:16" ht="24.95" customHeight="1">
      <c r="A38" s="77"/>
      <c r="B38" s="368"/>
      <c r="C38" s="369"/>
      <c r="E38" s="41"/>
      <c r="F38" s="42"/>
      <c r="G38" s="41"/>
      <c r="O38"/>
      <c r="P38" t="s">
        <v>98</v>
      </c>
    </row>
    <row r="39" spans="1:16" ht="24.95" customHeight="1">
      <c r="A39" s="77"/>
      <c r="B39" s="368"/>
      <c r="C39" s="369"/>
      <c r="E39" s="82"/>
      <c r="F39" s="82"/>
      <c r="G39" s="82"/>
      <c r="O39"/>
      <c r="P39" t="s">
        <v>99</v>
      </c>
    </row>
    <row r="40" spans="1:16" ht="24.95" customHeight="1" thickBot="1">
      <c r="A40" s="1"/>
      <c r="B40" s="366"/>
      <c r="C40" s="367"/>
      <c r="E40" s="41"/>
      <c r="F40" s="42"/>
      <c r="G40" s="41"/>
      <c r="O40"/>
      <c r="P40" t="s">
        <v>100</v>
      </c>
    </row>
    <row r="41" spans="1:16" ht="22.5" customHeight="1" thickBot="1">
      <c r="A41" s="34"/>
      <c r="B41" s="78"/>
      <c r="C41" s="76"/>
      <c r="D41" s="41"/>
      <c r="E41" s="41"/>
      <c r="F41" s="42"/>
      <c r="G41" s="41"/>
      <c r="O41"/>
      <c r="P41"/>
    </row>
    <row r="42" spans="1:16" ht="24.95" customHeight="1" thickBot="1">
      <c r="A42" s="34"/>
      <c r="B42" s="83" t="s">
        <v>263</v>
      </c>
      <c r="C42" s="84" t="s">
        <v>267</v>
      </c>
      <c r="D42" s="41"/>
      <c r="E42" s="82"/>
      <c r="F42" s="82"/>
      <c r="G42" s="82"/>
      <c r="O42" t="s">
        <v>101</v>
      </c>
      <c r="P42"/>
    </row>
    <row r="43" spans="1:16" s="3" customFormat="1" ht="24.95" customHeight="1" thickBot="1">
      <c r="A43" s="34"/>
      <c r="B43" s="88" t="s">
        <v>286</v>
      </c>
      <c r="C43" s="87" t="str">
        <f>CONCATENATE($C$28,"_",UPPER(B43))</f>
        <v>W_SWSUPONLINE_PRD_APP_LOGIN</v>
      </c>
      <c r="D43" s="264" t="s">
        <v>280</v>
      </c>
      <c r="E43" s="265"/>
      <c r="F43" s="265"/>
      <c r="G43" s="265"/>
      <c r="H43" s="243"/>
      <c r="I43" s="243"/>
      <c r="J43" s="7"/>
      <c r="K43" s="7"/>
      <c r="O43"/>
      <c r="P43"/>
    </row>
    <row r="44" spans="1:16" s="9" customFormat="1" ht="24.95" customHeight="1">
      <c r="A44" s="34"/>
      <c r="B44" s="370" t="s">
        <v>274</v>
      </c>
      <c r="C44" s="371"/>
      <c r="D44" s="41"/>
      <c r="E44" s="41"/>
      <c r="F44" s="42"/>
      <c r="G44" s="41"/>
      <c r="H44" s="7"/>
      <c r="I44" s="7"/>
      <c r="J44" s="7"/>
      <c r="K44" s="7"/>
      <c r="O44"/>
      <c r="P44" t="s">
        <v>102</v>
      </c>
    </row>
    <row r="45" spans="1:16" ht="24.95" customHeight="1">
      <c r="A45" s="41"/>
      <c r="B45" s="368" t="s">
        <v>295</v>
      </c>
      <c r="C45" s="369"/>
      <c r="D45" s="41"/>
      <c r="E45" s="82"/>
      <c r="F45" s="82"/>
      <c r="G45" s="82"/>
      <c r="O45"/>
      <c r="P45" t="s">
        <v>103</v>
      </c>
    </row>
    <row r="46" spans="1:16" ht="24.95" customHeight="1">
      <c r="A46" s="41"/>
      <c r="B46" s="368" t="s">
        <v>297</v>
      </c>
      <c r="C46" s="369"/>
      <c r="D46" s="81"/>
      <c r="E46" s="41"/>
      <c r="F46" s="42"/>
      <c r="G46" s="41"/>
      <c r="O46"/>
      <c r="P46" t="s">
        <v>104</v>
      </c>
    </row>
    <row r="47" spans="1:16" ht="24.95" customHeight="1">
      <c r="A47" s="41"/>
      <c r="B47" s="368" t="s">
        <v>296</v>
      </c>
      <c r="C47" s="369"/>
      <c r="D47" s="41"/>
      <c r="E47" s="41"/>
      <c r="O47"/>
      <c r="P47" t="s">
        <v>105</v>
      </c>
    </row>
    <row r="48" spans="1:16" ht="24.95" customHeight="1">
      <c r="A48" s="41"/>
      <c r="B48" s="368" t="s">
        <v>298</v>
      </c>
      <c r="C48" s="369"/>
      <c r="D48" s="41"/>
      <c r="E48" s="82"/>
      <c r="F48" s="82"/>
      <c r="G48" s="82"/>
      <c r="O48"/>
      <c r="P48"/>
    </row>
    <row r="49" spans="1:16" ht="24.95" customHeight="1" thickBot="1">
      <c r="A49" s="41"/>
      <c r="B49" s="366"/>
      <c r="C49" s="367"/>
      <c r="D49" s="81"/>
      <c r="E49" s="41"/>
      <c r="O49" t="s">
        <v>106</v>
      </c>
      <c r="P49"/>
    </row>
    <row r="50" spans="1:16" ht="18" customHeight="1" thickBot="1">
      <c r="A50" s="41"/>
      <c r="E50" s="41"/>
      <c r="O50"/>
      <c r="P50"/>
    </row>
    <row r="51" spans="1:16" ht="24.95" customHeight="1">
      <c r="A51" s="41"/>
      <c r="B51" s="83" t="s">
        <v>264</v>
      </c>
      <c r="C51" s="84" t="s">
        <v>269</v>
      </c>
      <c r="E51" s="41"/>
      <c r="O51"/>
      <c r="P51" t="s">
        <v>107</v>
      </c>
    </row>
    <row r="52" spans="1:16" ht="24.95" customHeight="1">
      <c r="A52" s="41"/>
      <c r="B52" s="88" t="s">
        <v>299</v>
      </c>
      <c r="C52" s="87" t="str">
        <f>CONCATENATE($C$28,"_",UPPER(B52))</f>
        <v>W_SWSUPONLINE_PRD_APP_SEARCH_KDB</v>
      </c>
      <c r="D52" s="264" t="s">
        <v>279</v>
      </c>
      <c r="E52" s="265"/>
      <c r="F52" s="265"/>
      <c r="G52" s="265"/>
      <c r="H52" s="243"/>
      <c r="I52" s="243"/>
      <c r="O52"/>
      <c r="P52" t="s">
        <v>108</v>
      </c>
    </row>
    <row r="53" spans="1:16" ht="24.95" customHeight="1">
      <c r="A53" s="41"/>
      <c r="B53" s="370" t="s">
        <v>275</v>
      </c>
      <c r="C53" s="371"/>
      <c r="E53" s="41"/>
      <c r="O53"/>
      <c r="P53" t="s">
        <v>109</v>
      </c>
    </row>
    <row r="54" spans="1:16" ht="24.95" customHeight="1">
      <c r="A54" s="41"/>
      <c r="B54" s="368" t="s">
        <v>300</v>
      </c>
      <c r="C54" s="369"/>
      <c r="E54" s="41"/>
      <c r="O54"/>
      <c r="P54"/>
    </row>
    <row r="55" spans="1:16" ht="24.95" customHeight="1">
      <c r="A55" s="41"/>
      <c r="B55" s="368" t="s">
        <v>301</v>
      </c>
      <c r="C55" s="369"/>
      <c r="E55" s="41"/>
      <c r="O55" t="s">
        <v>110</v>
      </c>
      <c r="P55"/>
    </row>
    <row r="56" spans="1:16" ht="24.95" customHeight="1">
      <c r="A56" s="41"/>
      <c r="B56" s="368" t="s">
        <v>302</v>
      </c>
      <c r="C56" s="369"/>
      <c r="O56"/>
      <c r="P56"/>
    </row>
    <row r="57" spans="1:16" ht="24.95" customHeight="1">
      <c r="A57" s="41"/>
      <c r="B57" s="368" t="s">
        <v>303</v>
      </c>
      <c r="C57" s="369"/>
      <c r="O57"/>
      <c r="P57" t="s">
        <v>111</v>
      </c>
    </row>
    <row r="58" spans="1:16" ht="24.95" customHeight="1" thickBot="1">
      <c r="A58" s="41"/>
      <c r="B58" s="366"/>
      <c r="C58" s="367"/>
      <c r="D58" s="41"/>
      <c r="O58"/>
      <c r="P58" t="s">
        <v>112</v>
      </c>
    </row>
    <row r="59" spans="1:16" ht="13.5" thickBot="1">
      <c r="A59" s="41"/>
      <c r="D59" s="41"/>
      <c r="O59"/>
      <c r="P59" t="s">
        <v>113</v>
      </c>
    </row>
    <row r="60" spans="1:16" ht="24.95" customHeight="1">
      <c r="A60" s="41"/>
      <c r="B60" s="83" t="s">
        <v>265</v>
      </c>
      <c r="C60" s="84" t="s">
        <v>270</v>
      </c>
      <c r="O60"/>
      <c r="P60" t="s">
        <v>114</v>
      </c>
    </row>
    <row r="61" spans="1:16" ht="24.95" customHeight="1">
      <c r="A61" s="41"/>
      <c r="B61" s="89"/>
      <c r="C61" s="87" t="str">
        <f>CONCATENATE($C$28,"_",UPPER(B61))</f>
        <v>W_SWSUPONLINE_PRD_APP_</v>
      </c>
      <c r="D61" s="264" t="s">
        <v>281</v>
      </c>
      <c r="E61" s="265"/>
      <c r="F61" s="265"/>
      <c r="G61" s="265"/>
      <c r="H61" s="243"/>
      <c r="I61" s="243"/>
      <c r="O61"/>
      <c r="P61" t="s">
        <v>115</v>
      </c>
    </row>
    <row r="62" spans="1:16" ht="24.95" customHeight="1">
      <c r="A62" s="41"/>
      <c r="B62" s="370" t="s">
        <v>276</v>
      </c>
      <c r="C62" s="371"/>
      <c r="D62" s="41"/>
      <c r="O62"/>
      <c r="P62" t="s">
        <v>116</v>
      </c>
    </row>
    <row r="63" spans="1:16" ht="24.95" customHeight="1">
      <c r="A63" s="41"/>
      <c r="B63" s="368"/>
      <c r="C63" s="369"/>
      <c r="D63" s="41"/>
      <c r="O63"/>
      <c r="P63" t="s">
        <v>117</v>
      </c>
    </row>
    <row r="64" spans="1:16" ht="24.95" customHeight="1">
      <c r="A64" s="41"/>
      <c r="B64" s="368"/>
      <c r="C64" s="369"/>
      <c r="O64"/>
      <c r="P64"/>
    </row>
    <row r="65" spans="1:16" ht="24.95" customHeight="1">
      <c r="A65" s="41"/>
      <c r="B65" s="368"/>
      <c r="C65" s="369"/>
      <c r="O65" t="s">
        <v>118</v>
      </c>
      <c r="P65"/>
    </row>
    <row r="66" spans="1:16" ht="24.95" customHeight="1">
      <c r="A66" s="41"/>
      <c r="B66" s="368"/>
      <c r="C66" s="369"/>
      <c r="N66"/>
      <c r="O66"/>
    </row>
    <row r="67" spans="1:16" ht="24.95" customHeight="1" thickBot="1">
      <c r="A67" s="41"/>
      <c r="B67" s="366"/>
      <c r="C67" s="367"/>
      <c r="N67"/>
      <c r="O67" t="s">
        <v>119</v>
      </c>
    </row>
    <row r="68" spans="1:16" ht="13.5" thickBot="1">
      <c r="A68" s="41"/>
      <c r="N68"/>
      <c r="O68" t="s">
        <v>120</v>
      </c>
    </row>
    <row r="69" spans="1:16" ht="24.95" customHeight="1">
      <c r="A69" s="41"/>
      <c r="B69" s="79" t="s">
        <v>266</v>
      </c>
      <c r="C69" s="80" t="s">
        <v>271</v>
      </c>
      <c r="N69"/>
      <c r="O69" t="s">
        <v>121</v>
      </c>
    </row>
    <row r="70" spans="1:16" ht="24.95" customHeight="1">
      <c r="B70" s="90"/>
      <c r="C70" s="87" t="str">
        <f>CONCATENATE($C$28,"_",UPPER(B70))</f>
        <v>W_SWSUPONLINE_PRD_APP_</v>
      </c>
      <c r="D70" s="264" t="s">
        <v>282</v>
      </c>
      <c r="E70" s="265"/>
      <c r="F70" s="265"/>
      <c r="G70" s="265"/>
      <c r="H70" s="243"/>
      <c r="I70" s="243"/>
      <c r="N70"/>
      <c r="O70" t="s">
        <v>122</v>
      </c>
    </row>
    <row r="71" spans="1:16" ht="24.95" customHeight="1">
      <c r="B71" s="370" t="s">
        <v>277</v>
      </c>
      <c r="C71" s="371"/>
      <c r="N71"/>
      <c r="O71" t="s">
        <v>123</v>
      </c>
    </row>
    <row r="72" spans="1:16" ht="24.95" customHeight="1">
      <c r="B72" s="368"/>
      <c r="C72" s="369"/>
      <c r="N72"/>
      <c r="O72" t="s">
        <v>124</v>
      </c>
    </row>
    <row r="73" spans="1:16" ht="24.95" customHeight="1">
      <c r="B73" s="368"/>
      <c r="C73" s="369"/>
      <c r="N73"/>
      <c r="O73" t="s">
        <v>125</v>
      </c>
    </row>
    <row r="74" spans="1:16" ht="24.95" customHeight="1">
      <c r="B74" s="368"/>
      <c r="C74" s="369"/>
      <c r="N74"/>
      <c r="O74"/>
    </row>
    <row r="75" spans="1:16" ht="24.95" customHeight="1">
      <c r="B75" s="368"/>
      <c r="C75" s="369"/>
      <c r="N75" t="s">
        <v>126</v>
      </c>
      <c r="O75"/>
    </row>
    <row r="76" spans="1:16" ht="24.95" customHeight="1" thickBot="1">
      <c r="B76" s="366"/>
      <c r="C76" s="367"/>
      <c r="N76"/>
      <c r="O76"/>
    </row>
    <row r="77" spans="1:16">
      <c r="N77"/>
      <c r="O77" t="s">
        <v>127</v>
      </c>
    </row>
    <row r="78" spans="1:16">
      <c r="N78"/>
      <c r="O78" t="s">
        <v>128</v>
      </c>
    </row>
    <row r="79" spans="1:16">
      <c r="N79"/>
      <c r="O79" t="s">
        <v>129</v>
      </c>
    </row>
    <row r="80" spans="1:16">
      <c r="N80"/>
      <c r="O80" t="s">
        <v>130</v>
      </c>
    </row>
    <row r="81" spans="14:15">
      <c r="N81"/>
      <c r="O81" t="s">
        <v>131</v>
      </c>
    </row>
    <row r="82" spans="14:15">
      <c r="N82"/>
      <c r="O82"/>
    </row>
    <row r="83" spans="14:15">
      <c r="N83" t="s">
        <v>132</v>
      </c>
      <c r="O83"/>
    </row>
    <row r="84" spans="14:15">
      <c r="N84"/>
      <c r="O84"/>
    </row>
    <row r="85" spans="14:15">
      <c r="N85"/>
      <c r="O85" t="s">
        <v>133</v>
      </c>
    </row>
    <row r="86" spans="14:15">
      <c r="N86"/>
      <c r="O86" t="s">
        <v>168</v>
      </c>
    </row>
    <row r="87" spans="14:15">
      <c r="N87"/>
      <c r="O87" t="s">
        <v>169</v>
      </c>
    </row>
    <row r="88" spans="14:15">
      <c r="N88"/>
      <c r="O88" t="s">
        <v>170</v>
      </c>
    </row>
    <row r="89" spans="14:15">
      <c r="N89"/>
      <c r="O89" t="s">
        <v>171</v>
      </c>
    </row>
    <row r="90" spans="14:15">
      <c r="N90"/>
      <c r="O90" t="s">
        <v>172</v>
      </c>
    </row>
    <row r="91" spans="14:15">
      <c r="N91"/>
      <c r="O91" t="s">
        <v>173</v>
      </c>
    </row>
    <row r="92" spans="14:15">
      <c r="N92"/>
      <c r="O92" t="s">
        <v>174</v>
      </c>
    </row>
    <row r="93" spans="14:15">
      <c r="N93"/>
      <c r="O93" t="s">
        <v>175</v>
      </c>
    </row>
    <row r="94" spans="14:15">
      <c r="N94"/>
    </row>
    <row r="95" spans="14:15">
      <c r="N95" t="s">
        <v>178</v>
      </c>
      <c r="O95" s="7" t="s">
        <v>179</v>
      </c>
    </row>
    <row r="96" spans="14:15">
      <c r="N96"/>
      <c r="O96" s="7" t="s">
        <v>180</v>
      </c>
    </row>
    <row r="97" spans="14:14">
      <c r="N97"/>
    </row>
    <row r="98" spans="14:14">
      <c r="N98"/>
    </row>
    <row r="99" spans="14:14">
      <c r="N99"/>
    </row>
    <row r="100" spans="14:14">
      <c r="N100"/>
    </row>
    <row r="101" spans="14:14">
      <c r="N101"/>
    </row>
    <row r="102" spans="14:14">
      <c r="N102"/>
    </row>
    <row r="103" spans="14:14">
      <c r="N103"/>
    </row>
  </sheetData>
  <protectedRanges>
    <protectedRange sqref="C12:C16" name="Customer Information"/>
    <protectedRange sqref="G11:G18" name="Application Information"/>
    <protectedRange sqref="C19" name="CMDB Information"/>
    <protectedRange sqref="B34 B43 B52 B61 B70" name="Transaction Description_2"/>
    <protectedRange sqref="C30:J30" name="Business Process Instructions_2"/>
  </protectedRanges>
  <mergeCells count="54">
    <mergeCell ref="C1:E1"/>
    <mergeCell ref="B3:G3"/>
    <mergeCell ref="B4:G4"/>
    <mergeCell ref="B5:G7"/>
    <mergeCell ref="B8:C8"/>
    <mergeCell ref="E8:G8"/>
    <mergeCell ref="F15:F16"/>
    <mergeCell ref="G15:G16"/>
    <mergeCell ref="F21:G21"/>
    <mergeCell ref="B26:F26"/>
    <mergeCell ref="C27:D27"/>
    <mergeCell ref="E27:F27"/>
    <mergeCell ref="B38:C38"/>
    <mergeCell ref="H27:J27"/>
    <mergeCell ref="C28:E28"/>
    <mergeCell ref="H28:J28"/>
    <mergeCell ref="C29:E29"/>
    <mergeCell ref="F29:G29"/>
    <mergeCell ref="H29:J29"/>
    <mergeCell ref="C30:J30"/>
    <mergeCell ref="D34:I34"/>
    <mergeCell ref="B35:C35"/>
    <mergeCell ref="B36:C36"/>
    <mergeCell ref="B37:C37"/>
    <mergeCell ref="B54:C54"/>
    <mergeCell ref="B39:C39"/>
    <mergeCell ref="B40:C40"/>
    <mergeCell ref="D43:I43"/>
    <mergeCell ref="B44:C44"/>
    <mergeCell ref="B45:C45"/>
    <mergeCell ref="B46:C46"/>
    <mergeCell ref="B47:C47"/>
    <mergeCell ref="B48:C48"/>
    <mergeCell ref="B49:C49"/>
    <mergeCell ref="D52:I52"/>
    <mergeCell ref="B53:C53"/>
    <mergeCell ref="D70:I70"/>
    <mergeCell ref="B55:C55"/>
    <mergeCell ref="B56:C56"/>
    <mergeCell ref="B57:C57"/>
    <mergeCell ref="B58:C58"/>
    <mergeCell ref="D61:I61"/>
    <mergeCell ref="B62:C62"/>
    <mergeCell ref="B76:C76"/>
    <mergeCell ref="B63:C63"/>
    <mergeCell ref="B64:C64"/>
    <mergeCell ref="B65:C65"/>
    <mergeCell ref="B66:C66"/>
    <mergeCell ref="B67:C67"/>
    <mergeCell ref="B71:C71"/>
    <mergeCell ref="B72:C72"/>
    <mergeCell ref="B73:C73"/>
    <mergeCell ref="B74:C74"/>
    <mergeCell ref="B75:C75"/>
  </mergeCells>
  <dataValidations count="23">
    <dataValidation allowBlank="1" showInputMessage="1" showErrorMessage="1" prompt="Describe the process, step by step, that a user would follow to complete this transaction. Include any checks that the script should make to validate the step has passed. Use all 5 cells if necessary_x000a__x000a_Eg: Go to http://google.co.uk_x000a_Check for text: Search:_x000a_" sqref="B45:C45 B54:C54 B63:C63 B72:C72 B36:C36"/>
    <dataValidation allowBlank="1" showInputMessage="1" showErrorMessage="1" promptTitle="BAC Profile Name" prompt="This is the name of the BAC Profile. It is very important that this name is used EXACTLY as appears in this cell. This is used in ITR2 for SLA reporting." sqref="G27"/>
    <dataValidation allowBlank="1" showInputMessage="1" showErrorMessage="1" promptTitle="Script Name" prompt="This is the name of the script that will be created using Vugen. It is very important that this name is used EXACTLY as appears in this cell. This is used to drive the ALRETS from BAC to HPSC and ensure they are routed to the correct workgroup" sqref="C28:E28"/>
    <dataValidation type="textLength" allowBlank="1" showInputMessage="1" showErrorMessage="1" promptTitle="T4 Short Description" prompt="Choose a name that best describes the action for this transaction step;_x000a_Eg: If this step is where the user would search for a support case, then use SEARCH_CASE for the short transaction name." sqref="B61">
      <formula1>1</formula1>
      <formula2>15</formula2>
    </dataValidation>
    <dataValidation type="textLength" allowBlank="1" showInputMessage="1" showErrorMessage="1" promptTitle="T3 Short Description" prompt="Choose a name that best describes the action for this transaction step;_x000a_Eg: If this step is where the user would look up a part, then use PART_LOOKUP for the short transaction name." sqref="B52">
      <formula1>1</formula1>
      <formula2>15</formula2>
    </dataValidation>
    <dataValidation type="textLength" allowBlank="1" showInputMessage="1" showErrorMessage="1" promptTitle="T2 Short Description" prompt="Choose a name that best describes the action for this transaction step;_x000a_Eg: If this step is where the user would login to the application,then use LOGIN for the short transaction name." sqref="B43">
      <formula1>1</formula1>
      <formula2>15</formula2>
    </dataValidation>
    <dataValidation type="textLength" allowBlank="1" showInputMessage="1" showErrorMessage="1" promptTitle="T1 Short Description" prompt="Choose a name that best describes the action for this transaction step;_x000a_Eg: If this step is where the user gose to the home page, use HOME as the short transaction name." sqref="B34">
      <formula1>1</formula1>
      <formula2>15</formula2>
    </dataValidation>
    <dataValidation type="list" allowBlank="1" showInputMessage="1" showErrorMessage="1" sqref="H28">
      <formula1>$L$11:$L$14</formula1>
    </dataValidation>
    <dataValidation allowBlank="1" showInputMessage="1" showErrorMessage="1" promptTitle="Application or Solution Name" prompt="This is the name, as listed in Apate, of the application or solution which should be monitored." sqref="G11"/>
    <dataValidation type="list" allowBlank="1" showInputMessage="1" showErrorMessage="1" promptTitle="Development (IT Owner) L2" prompt="This is the Level 2 organization for the application or solution as listed in Apate._x000a_See the note for cell B18 for a complete list of available selections." sqref="C12">
      <formula1>$N$11:$N$21</formula1>
    </dataValidation>
    <dataValidation allowBlank="1" showInputMessage="1" showErrorMessage="1" promptTitle="Requestor Name" prompt="This is the person responsible for completing this template. _x000a_Questions regarding the accuracy of data in the template will be directed to the requestor." sqref="C14"/>
    <dataValidation allowBlank="1" showInputMessage="1" showErrorMessage="1" promptTitle="Application Instance CI" prompt="This is the Configuration Item (CI) created within the CMDB for the Application Instance referenced in the Business Process. This will be the Application Instance for which the monitoring will be created. _x000a_You entry here must begin with &quot;HPIT:&quot;." sqref="C19"/>
    <dataValidation allowBlank="1" showInputMessage="1" showErrorMessage="1" promptTitle="E-mail Address" prompt="This is the email address of the person responsible for completing this template (the Requestor)." sqref="C16"/>
    <dataValidation allowBlank="1" showInputMessage="1" showErrorMessage="1" promptTitle="Phone Number" prompt="This is the phone number of the person responsible for completing this template (the Requestor)." sqref="C15"/>
    <dataValidation allowBlank="1" showInputMessage="1" showErrorMessage="1" promptTitle="BAC Application Instance Part CI" prompt="This is a protected cell. _x000a_The data presented is based of answers to previous questions. It represents the Application Instance Part CI which must be created by the application team to allow correct routing of Incident Tickets." sqref="C20"/>
    <dataValidation type="list" allowBlank="1" showInputMessage="1" showErrorMessage="1" promptTitle="User Access Method" prompt="This is the selection from the available list which best represents the access required by users to access the application or solution." sqref="G13">
      <formula1>$T$12:$T$20</formula1>
    </dataValidation>
    <dataValidation type="list" allowBlank="1" showInputMessage="1" showErrorMessage="1" promptTitle="Application Access Direction" prompt="Select from the available list which best represents the user entry point to the application._x000a_If the application is both Internally and Externally, select Both and the Application will be monitored from the Intra and Internet." sqref="G12">
      <formula1>$S$12:$S$14</formula1>
    </dataValidation>
    <dataValidation allowBlank="1" showInputMessage="1" showErrorMessage="1" promptTitle="EPR or Solution ID" prompt="This is the ID, as listed in Apate, for the application or solution to be monitored." sqref="G14"/>
    <dataValidation type="list" allowBlank="1" showInputMessage="1" showErrorMessage="1" promptTitle="Application Criticality" prompt="This is the application or solution classification as listed in Apate." sqref="G15:G16">
      <formula1>$M$18:$M$21</formula1>
    </dataValidation>
    <dataValidation type="list" allowBlank="1" showInputMessage="1" showErrorMessage="1" promptTitle="Hosting Datacenter" prompt="This is the datacenter as selected from the list which hosts the application or solution to be monitored._x000a_If an application instance is hosted in multiple datacenters, select the most appropriate location." sqref="G17">
      <formula1>$U$12:$U$19</formula1>
    </dataValidation>
    <dataValidation type="textLength" allowBlank="1" showInputMessage="1" showErrorMessage="1" promptTitle="Business Process Description" prompt="Not required: If left blank will default to: APP_x000a_Max 10 character description of the business process. Eg:  PARTLOOKUP for a business process which looks up a part number._x000a_This is field can't contain blank spaces." sqref="G18">
      <formula1>0</formula1>
      <formula2>10</formula2>
    </dataValidation>
    <dataValidation type="textLength" allowBlank="1" showInputMessage="1" showErrorMessage="1" promptTitle="T5 Short Description" prompt="Choose a name that best describes the action for this transaction step;_x000a_Eg: If this step is where the user woulddo a Knowledge Base serach, then use SEARCH_KDB for the short transaction name." sqref="B70">
      <formula1>1</formula1>
      <formula2>15</formula2>
    </dataValidation>
    <dataValidation type="list" allowBlank="1" showInputMessage="1" showErrorMessage="1" promptTitle="Development (IT Owner) L3" prompt="This is the Level 3 organization for the application or solution as listed in Apate._x000a_The available selections for this entry will be based on the item selected for the Level 2 organization." sqref="C13">
      <formula1>INDIRECT(C12)</formula1>
    </dataValidation>
  </dataValidations>
  <hyperlinks>
    <hyperlink ref="E8" r:id="rId1"/>
    <hyperlink ref="P11" r:id="rId2"/>
    <hyperlink ref="P12" r:id="rId3"/>
    <hyperlink ref="P13" r:id="rId4"/>
    <hyperlink ref="P14" r:id="rId5"/>
    <hyperlink ref="P15" r:id="rId6"/>
    <hyperlink ref="P16" r:id="rId7"/>
    <hyperlink ref="P17" r:id="rId8"/>
    <hyperlink ref="P18" r:id="rId9"/>
    <hyperlink ref="P19" r:id="rId10"/>
    <hyperlink ref="P20" r:id="rId11"/>
    <hyperlink ref="P21" r:id="rId12"/>
    <hyperlink ref="C16" r:id="rId13"/>
  </hyperlinks>
  <pageMargins left="0.75" right="0.75" top="1" bottom="1" header="0.5" footer="0.5"/>
  <pageSetup scale="70" orientation="landscape" r:id="rId14"/>
  <headerFooter alignWithMargins="0"/>
  <drawing r:id="rId15"/>
  <legacyDrawing r:id="rId16"/>
</worksheet>
</file>

<file path=xl/worksheets/sheet6.xml><?xml version="1.0" encoding="utf-8"?>
<worksheet xmlns="http://schemas.openxmlformats.org/spreadsheetml/2006/main" xmlns:r="http://schemas.openxmlformats.org/officeDocument/2006/relationships">
  <sheetPr codeName="Sheet5"/>
  <dimension ref="B2:O35"/>
  <sheetViews>
    <sheetView workbookViewId="0"/>
  </sheetViews>
  <sheetFormatPr defaultRowHeight="12.75"/>
  <sheetData>
    <row r="2" spans="2:15">
      <c r="B2" s="397"/>
      <c r="C2" s="397"/>
      <c r="D2" s="397"/>
      <c r="E2" s="397"/>
      <c r="F2" s="397"/>
      <c r="G2" s="397"/>
      <c r="H2" s="397"/>
      <c r="I2" s="397"/>
      <c r="J2" s="397"/>
      <c r="K2" s="397"/>
      <c r="L2" s="397"/>
      <c r="M2" s="397"/>
      <c r="N2" s="397"/>
      <c r="O2" s="397"/>
    </row>
    <row r="3" spans="2:15">
      <c r="B3" s="397"/>
      <c r="C3" s="397"/>
      <c r="D3" s="397"/>
      <c r="E3" s="397"/>
      <c r="F3" s="397"/>
      <c r="G3" s="397"/>
      <c r="H3" s="397"/>
      <c r="I3" s="397"/>
      <c r="J3" s="397"/>
      <c r="K3" s="397"/>
      <c r="L3" s="397"/>
      <c r="M3" s="397"/>
      <c r="N3" s="397"/>
      <c r="O3" s="397"/>
    </row>
    <row r="4" spans="2:15">
      <c r="B4" s="397"/>
      <c r="C4" s="397"/>
      <c r="D4" s="397"/>
      <c r="E4" s="397"/>
      <c r="F4" s="397"/>
      <c r="G4" s="397"/>
      <c r="H4" s="397"/>
      <c r="I4" s="397"/>
      <c r="J4" s="397"/>
      <c r="K4" s="397"/>
      <c r="L4" s="397"/>
      <c r="M4" s="397"/>
      <c r="N4" s="397"/>
      <c r="O4" s="397"/>
    </row>
    <row r="5" spans="2:15">
      <c r="B5" s="397"/>
      <c r="C5" s="397"/>
      <c r="D5" s="397"/>
      <c r="E5" s="397"/>
      <c r="F5" s="397"/>
      <c r="G5" s="397"/>
      <c r="H5" s="397"/>
      <c r="I5" s="397"/>
      <c r="J5" s="397"/>
      <c r="K5" s="397"/>
      <c r="L5" s="397"/>
      <c r="M5" s="397"/>
      <c r="N5" s="397"/>
      <c r="O5" s="397"/>
    </row>
    <row r="6" spans="2:15">
      <c r="B6" s="397"/>
      <c r="C6" s="397"/>
      <c r="D6" s="397"/>
      <c r="E6" s="397"/>
      <c r="F6" s="397"/>
      <c r="G6" s="397"/>
      <c r="H6" s="397"/>
      <c r="I6" s="397"/>
      <c r="J6" s="397"/>
      <c r="K6" s="397"/>
      <c r="L6" s="397"/>
      <c r="M6" s="397"/>
      <c r="N6" s="397"/>
      <c r="O6" s="397"/>
    </row>
    <row r="7" spans="2:15">
      <c r="B7" s="397"/>
      <c r="C7" s="397"/>
      <c r="D7" s="397"/>
      <c r="E7" s="397"/>
      <c r="F7" s="397"/>
      <c r="G7" s="397"/>
      <c r="H7" s="397"/>
      <c r="I7" s="397"/>
      <c r="J7" s="397"/>
      <c r="K7" s="397"/>
      <c r="L7" s="397"/>
      <c r="M7" s="397"/>
      <c r="N7" s="397"/>
      <c r="O7" s="397"/>
    </row>
    <row r="8" spans="2:15">
      <c r="B8" s="397"/>
      <c r="C8" s="397"/>
      <c r="D8" s="397"/>
      <c r="E8" s="397"/>
      <c r="F8" s="397"/>
      <c r="G8" s="397"/>
      <c r="H8" s="397"/>
      <c r="I8" s="397"/>
      <c r="J8" s="397"/>
      <c r="K8" s="397"/>
      <c r="L8" s="397"/>
      <c r="M8" s="397"/>
      <c r="N8" s="397"/>
      <c r="O8" s="397"/>
    </row>
    <row r="9" spans="2:15">
      <c r="B9" s="397"/>
      <c r="C9" s="397"/>
      <c r="D9" s="397"/>
      <c r="E9" s="397"/>
      <c r="F9" s="397"/>
      <c r="G9" s="397"/>
      <c r="H9" s="397"/>
      <c r="I9" s="397"/>
      <c r="J9" s="397"/>
      <c r="K9" s="397"/>
      <c r="L9" s="397"/>
      <c r="M9" s="397"/>
      <c r="N9" s="397"/>
      <c r="O9" s="397"/>
    </row>
    <row r="10" spans="2:15">
      <c r="B10" s="397"/>
      <c r="C10" s="397"/>
      <c r="D10" s="397"/>
      <c r="E10" s="397"/>
      <c r="F10" s="397"/>
      <c r="G10" s="397"/>
      <c r="H10" s="397"/>
      <c r="I10" s="397"/>
      <c r="J10" s="397"/>
      <c r="K10" s="397"/>
      <c r="L10" s="397"/>
      <c r="M10" s="397"/>
      <c r="N10" s="397"/>
      <c r="O10" s="397"/>
    </row>
    <row r="11" spans="2:15">
      <c r="B11" s="397"/>
      <c r="C11" s="397"/>
      <c r="D11" s="397"/>
      <c r="E11" s="397"/>
      <c r="F11" s="397"/>
      <c r="G11" s="397"/>
      <c r="H11" s="397"/>
      <c r="I11" s="397"/>
      <c r="J11" s="397"/>
      <c r="K11" s="397"/>
      <c r="L11" s="397"/>
      <c r="M11" s="397"/>
      <c r="N11" s="397"/>
      <c r="O11" s="397"/>
    </row>
    <row r="12" spans="2:15">
      <c r="B12" s="397"/>
      <c r="C12" s="397"/>
      <c r="D12" s="397"/>
      <c r="E12" s="397"/>
      <c r="F12" s="397"/>
      <c r="G12" s="397"/>
      <c r="H12" s="397"/>
      <c r="I12" s="397"/>
      <c r="J12" s="397"/>
      <c r="K12" s="397"/>
      <c r="L12" s="397"/>
      <c r="M12" s="397"/>
      <c r="N12" s="397"/>
      <c r="O12" s="397"/>
    </row>
    <row r="13" spans="2:15">
      <c r="B13" s="397"/>
      <c r="C13" s="397"/>
      <c r="D13" s="397"/>
      <c r="E13" s="397"/>
      <c r="F13" s="397"/>
      <c r="G13" s="397"/>
      <c r="H13" s="397"/>
      <c r="I13" s="397"/>
      <c r="J13" s="397"/>
      <c r="K13" s="397"/>
      <c r="L13" s="397"/>
      <c r="M13" s="397"/>
      <c r="N13" s="397"/>
      <c r="O13" s="397"/>
    </row>
    <row r="14" spans="2:15">
      <c r="B14" s="397"/>
      <c r="C14" s="397"/>
      <c r="D14" s="397"/>
      <c r="E14" s="397"/>
      <c r="F14" s="397"/>
      <c r="G14" s="397"/>
      <c r="H14" s="397"/>
      <c r="I14" s="397"/>
      <c r="J14" s="397"/>
      <c r="K14" s="397"/>
      <c r="L14" s="397"/>
      <c r="M14" s="397"/>
      <c r="N14" s="397"/>
      <c r="O14" s="397"/>
    </row>
    <row r="15" spans="2:15">
      <c r="B15" s="397"/>
      <c r="C15" s="397"/>
      <c r="D15" s="397"/>
      <c r="E15" s="397"/>
      <c r="F15" s="397"/>
      <c r="G15" s="397"/>
      <c r="H15" s="397"/>
      <c r="I15" s="397"/>
      <c r="J15" s="397"/>
      <c r="K15" s="397"/>
      <c r="L15" s="397"/>
      <c r="M15" s="397"/>
      <c r="N15" s="397"/>
      <c r="O15" s="397"/>
    </row>
    <row r="16" spans="2:15">
      <c r="B16" s="397"/>
      <c r="C16" s="397"/>
      <c r="D16" s="397"/>
      <c r="E16" s="397"/>
      <c r="F16" s="397"/>
      <c r="G16" s="397"/>
      <c r="H16" s="397"/>
      <c r="I16" s="397"/>
      <c r="J16" s="397"/>
      <c r="K16" s="397"/>
      <c r="L16" s="397"/>
      <c r="M16" s="397"/>
      <c r="N16" s="397"/>
      <c r="O16" s="397"/>
    </row>
    <row r="17" spans="2:15">
      <c r="B17" s="397"/>
      <c r="C17" s="397"/>
      <c r="D17" s="397"/>
      <c r="E17" s="397"/>
      <c r="F17" s="397"/>
      <c r="G17" s="397"/>
      <c r="H17" s="397"/>
      <c r="I17" s="397"/>
      <c r="J17" s="397"/>
      <c r="K17" s="397"/>
      <c r="L17" s="397"/>
      <c r="M17" s="397"/>
      <c r="N17" s="397"/>
      <c r="O17" s="397"/>
    </row>
    <row r="18" spans="2:15">
      <c r="B18" s="397"/>
      <c r="C18" s="397"/>
      <c r="D18" s="397"/>
      <c r="E18" s="397"/>
      <c r="F18" s="397"/>
      <c r="G18" s="397"/>
      <c r="H18" s="397"/>
      <c r="I18" s="397"/>
      <c r="J18" s="397"/>
      <c r="K18" s="397"/>
      <c r="L18" s="397"/>
      <c r="M18" s="397"/>
      <c r="N18" s="397"/>
      <c r="O18" s="397"/>
    </row>
    <row r="19" spans="2:15">
      <c r="B19" s="397"/>
      <c r="C19" s="397"/>
      <c r="D19" s="397"/>
      <c r="E19" s="397"/>
      <c r="F19" s="397"/>
      <c r="G19" s="397"/>
      <c r="H19" s="397"/>
      <c r="I19" s="397"/>
      <c r="J19" s="397"/>
      <c r="K19" s="397"/>
      <c r="L19" s="397"/>
      <c r="M19" s="397"/>
      <c r="N19" s="397"/>
      <c r="O19" s="397"/>
    </row>
    <row r="20" spans="2:15">
      <c r="B20" s="397"/>
      <c r="C20" s="397"/>
      <c r="D20" s="397"/>
      <c r="E20" s="397"/>
      <c r="F20" s="397"/>
      <c r="G20" s="397"/>
      <c r="H20" s="397"/>
      <c r="I20" s="397"/>
      <c r="J20" s="397"/>
      <c r="K20" s="397"/>
      <c r="L20" s="397"/>
      <c r="M20" s="397"/>
      <c r="N20" s="397"/>
      <c r="O20" s="397"/>
    </row>
    <row r="21" spans="2:15">
      <c r="B21" s="397"/>
      <c r="C21" s="397"/>
      <c r="D21" s="397"/>
      <c r="E21" s="397"/>
      <c r="F21" s="397"/>
      <c r="G21" s="397"/>
      <c r="H21" s="397"/>
      <c r="I21" s="397"/>
      <c r="J21" s="397"/>
      <c r="K21" s="397"/>
      <c r="L21" s="397"/>
      <c r="M21" s="397"/>
      <c r="N21" s="397"/>
      <c r="O21" s="397"/>
    </row>
    <row r="22" spans="2:15">
      <c r="B22" s="397"/>
      <c r="C22" s="397"/>
      <c r="D22" s="397"/>
      <c r="E22" s="397"/>
      <c r="F22" s="397"/>
      <c r="G22" s="397"/>
      <c r="H22" s="397"/>
      <c r="I22" s="397"/>
      <c r="J22" s="397"/>
      <c r="K22" s="397"/>
      <c r="L22" s="397"/>
      <c r="M22" s="397"/>
      <c r="N22" s="397"/>
      <c r="O22" s="397"/>
    </row>
    <row r="23" spans="2:15">
      <c r="B23" s="397"/>
      <c r="C23" s="397"/>
      <c r="D23" s="397"/>
      <c r="E23" s="397"/>
      <c r="F23" s="397"/>
      <c r="G23" s="397"/>
      <c r="H23" s="397"/>
      <c r="I23" s="397"/>
      <c r="J23" s="397"/>
      <c r="K23" s="397"/>
      <c r="L23" s="397"/>
      <c r="M23" s="397"/>
      <c r="N23" s="397"/>
      <c r="O23" s="397"/>
    </row>
    <row r="24" spans="2:15">
      <c r="B24" s="397"/>
      <c r="C24" s="397"/>
      <c r="D24" s="397"/>
      <c r="E24" s="397"/>
      <c r="F24" s="397"/>
      <c r="G24" s="397"/>
      <c r="H24" s="397"/>
      <c r="I24" s="397"/>
      <c r="J24" s="397"/>
      <c r="K24" s="397"/>
      <c r="L24" s="397"/>
      <c r="M24" s="397"/>
      <c r="N24" s="397"/>
      <c r="O24" s="397"/>
    </row>
    <row r="25" spans="2:15">
      <c r="B25" s="397"/>
      <c r="C25" s="397"/>
      <c r="D25" s="397"/>
      <c r="E25" s="397"/>
      <c r="F25" s="397"/>
      <c r="G25" s="397"/>
      <c r="H25" s="397"/>
      <c r="I25" s="397"/>
      <c r="J25" s="397"/>
      <c r="K25" s="397"/>
      <c r="L25" s="397"/>
      <c r="M25" s="397"/>
      <c r="N25" s="397"/>
      <c r="O25" s="397"/>
    </row>
    <row r="26" spans="2:15">
      <c r="B26" s="397"/>
      <c r="C26" s="397"/>
      <c r="D26" s="397"/>
      <c r="E26" s="397"/>
      <c r="F26" s="397"/>
      <c r="G26" s="397"/>
      <c r="H26" s="397"/>
      <c r="I26" s="397"/>
      <c r="J26" s="397"/>
      <c r="K26" s="397"/>
      <c r="L26" s="397"/>
      <c r="M26" s="397"/>
      <c r="N26" s="397"/>
      <c r="O26" s="397"/>
    </row>
    <row r="27" spans="2:15">
      <c r="B27" s="397"/>
      <c r="C27" s="397"/>
      <c r="D27" s="397"/>
      <c r="E27" s="397"/>
      <c r="F27" s="397"/>
      <c r="G27" s="397"/>
      <c r="H27" s="397"/>
      <c r="I27" s="397"/>
      <c r="J27" s="397"/>
      <c r="K27" s="397"/>
      <c r="L27" s="397"/>
      <c r="M27" s="397"/>
      <c r="N27" s="397"/>
      <c r="O27" s="397"/>
    </row>
    <row r="28" spans="2:15">
      <c r="B28" s="397"/>
      <c r="C28" s="397"/>
      <c r="D28" s="397"/>
      <c r="E28" s="397"/>
      <c r="F28" s="397"/>
      <c r="G28" s="397"/>
      <c r="H28" s="397"/>
      <c r="I28" s="397"/>
      <c r="J28" s="397"/>
      <c r="K28" s="397"/>
      <c r="L28" s="397"/>
      <c r="M28" s="397"/>
      <c r="N28" s="397"/>
      <c r="O28" s="397"/>
    </row>
    <row r="29" spans="2:15">
      <c r="B29" s="397"/>
      <c r="C29" s="397"/>
      <c r="D29" s="397"/>
      <c r="E29" s="397"/>
      <c r="F29" s="397"/>
      <c r="G29" s="397"/>
      <c r="H29" s="397"/>
      <c r="I29" s="397"/>
      <c r="J29" s="397"/>
      <c r="K29" s="397"/>
      <c r="L29" s="397"/>
      <c r="M29" s="397"/>
      <c r="N29" s="397"/>
      <c r="O29" s="397"/>
    </row>
    <row r="30" spans="2:15">
      <c r="B30" s="397"/>
      <c r="C30" s="397"/>
      <c r="D30" s="397"/>
      <c r="E30" s="397"/>
      <c r="F30" s="397"/>
      <c r="G30" s="397"/>
      <c r="H30" s="397"/>
      <c r="I30" s="397"/>
      <c r="J30" s="397"/>
      <c r="K30" s="397"/>
      <c r="L30" s="397"/>
      <c r="M30" s="397"/>
      <c r="N30" s="397"/>
      <c r="O30" s="397"/>
    </row>
    <row r="31" spans="2:15">
      <c r="B31" s="397"/>
      <c r="C31" s="397"/>
      <c r="D31" s="397"/>
      <c r="E31" s="397"/>
      <c r="F31" s="397"/>
      <c r="G31" s="397"/>
      <c r="H31" s="397"/>
      <c r="I31" s="397"/>
      <c r="J31" s="397"/>
      <c r="K31" s="397"/>
      <c r="L31" s="397"/>
      <c r="M31" s="397"/>
      <c r="N31" s="397"/>
      <c r="O31" s="397"/>
    </row>
    <row r="32" spans="2:15">
      <c r="B32" s="397"/>
      <c r="C32" s="397"/>
      <c r="D32" s="397"/>
      <c r="E32" s="397"/>
      <c r="F32" s="397"/>
      <c r="G32" s="397"/>
      <c r="H32" s="397"/>
      <c r="I32" s="397"/>
      <c r="J32" s="397"/>
      <c r="K32" s="397"/>
      <c r="L32" s="397"/>
      <c r="M32" s="397"/>
      <c r="N32" s="397"/>
      <c r="O32" s="397"/>
    </row>
    <row r="33" spans="2:15">
      <c r="B33" s="397"/>
      <c r="C33" s="397"/>
      <c r="D33" s="397"/>
      <c r="E33" s="397"/>
      <c r="F33" s="397"/>
      <c r="G33" s="397"/>
      <c r="H33" s="397"/>
      <c r="I33" s="397"/>
      <c r="J33" s="397"/>
      <c r="K33" s="397"/>
      <c r="L33" s="397"/>
      <c r="M33" s="397"/>
      <c r="N33" s="397"/>
      <c r="O33" s="397"/>
    </row>
    <row r="34" spans="2:15">
      <c r="B34" s="397"/>
      <c r="C34" s="397"/>
      <c r="D34" s="397"/>
      <c r="E34" s="397"/>
      <c r="F34" s="397"/>
      <c r="G34" s="397"/>
      <c r="H34" s="397"/>
      <c r="I34" s="397"/>
      <c r="J34" s="397"/>
      <c r="K34" s="397"/>
      <c r="L34" s="397"/>
      <c r="M34" s="397"/>
      <c r="N34" s="397"/>
      <c r="O34" s="397"/>
    </row>
    <row r="35" spans="2:15">
      <c r="B35" s="397"/>
      <c r="C35" s="397"/>
      <c r="D35" s="397"/>
      <c r="E35" s="397"/>
      <c r="F35" s="397"/>
      <c r="G35" s="397"/>
      <c r="H35" s="397"/>
      <c r="I35" s="397"/>
      <c r="J35" s="397"/>
      <c r="K35" s="397"/>
      <c r="L35" s="397"/>
      <c r="M35" s="397"/>
      <c r="N35" s="397"/>
      <c r="O35" s="397"/>
    </row>
  </sheetData>
  <mergeCells count="1">
    <mergeCell ref="B2:O3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7"/>
  <dimension ref="B3:O36"/>
  <sheetViews>
    <sheetView workbookViewId="0"/>
  </sheetViews>
  <sheetFormatPr defaultRowHeight="12.75"/>
  <sheetData>
    <row r="3" spans="2:15">
      <c r="B3" s="397"/>
      <c r="C3" s="397"/>
      <c r="D3" s="397"/>
      <c r="E3" s="397"/>
      <c r="F3" s="397"/>
      <c r="G3" s="397"/>
      <c r="H3" s="397"/>
      <c r="I3" s="397"/>
      <c r="J3" s="397"/>
      <c r="K3" s="397"/>
      <c r="L3" s="397"/>
      <c r="M3" s="397"/>
      <c r="N3" s="397"/>
      <c r="O3" s="397"/>
    </row>
    <row r="4" spans="2:15">
      <c r="B4" s="397"/>
      <c r="C4" s="397"/>
      <c r="D4" s="397"/>
      <c r="E4" s="397"/>
      <c r="F4" s="397"/>
      <c r="G4" s="397"/>
      <c r="H4" s="397"/>
      <c r="I4" s="397"/>
      <c r="J4" s="397"/>
      <c r="K4" s="397"/>
      <c r="L4" s="397"/>
      <c r="M4" s="397"/>
      <c r="N4" s="397"/>
      <c r="O4" s="397"/>
    </row>
    <row r="5" spans="2:15">
      <c r="B5" s="397"/>
      <c r="C5" s="397"/>
      <c r="D5" s="397"/>
      <c r="E5" s="397"/>
      <c r="F5" s="397"/>
      <c r="G5" s="397"/>
      <c r="H5" s="397"/>
      <c r="I5" s="397"/>
      <c r="J5" s="397"/>
      <c r="K5" s="397"/>
      <c r="L5" s="397"/>
      <c r="M5" s="397"/>
      <c r="N5" s="397"/>
      <c r="O5" s="397"/>
    </row>
    <row r="6" spans="2:15">
      <c r="B6" s="397"/>
      <c r="C6" s="397"/>
      <c r="D6" s="397"/>
      <c r="E6" s="397"/>
      <c r="F6" s="397"/>
      <c r="G6" s="397"/>
      <c r="H6" s="397"/>
      <c r="I6" s="397"/>
      <c r="J6" s="397"/>
      <c r="K6" s="397"/>
      <c r="L6" s="397"/>
      <c r="M6" s="397"/>
      <c r="N6" s="397"/>
      <c r="O6" s="397"/>
    </row>
    <row r="7" spans="2:15">
      <c r="B7" s="397"/>
      <c r="C7" s="397"/>
      <c r="D7" s="397"/>
      <c r="E7" s="397"/>
      <c r="F7" s="397"/>
      <c r="G7" s="397"/>
      <c r="H7" s="397"/>
      <c r="I7" s="397"/>
      <c r="J7" s="397"/>
      <c r="K7" s="397"/>
      <c r="L7" s="397"/>
      <c r="M7" s="397"/>
      <c r="N7" s="397"/>
      <c r="O7" s="397"/>
    </row>
    <row r="8" spans="2:15">
      <c r="B8" s="397"/>
      <c r="C8" s="397"/>
      <c r="D8" s="397"/>
      <c r="E8" s="397"/>
      <c r="F8" s="397"/>
      <c r="G8" s="397"/>
      <c r="H8" s="397"/>
      <c r="I8" s="397"/>
      <c r="J8" s="397"/>
      <c r="K8" s="397"/>
      <c r="L8" s="397"/>
      <c r="M8" s="397"/>
      <c r="N8" s="397"/>
      <c r="O8" s="397"/>
    </row>
    <row r="9" spans="2:15">
      <c r="B9" s="397"/>
      <c r="C9" s="397"/>
      <c r="D9" s="397"/>
      <c r="E9" s="397"/>
      <c r="F9" s="397"/>
      <c r="G9" s="397"/>
      <c r="H9" s="397"/>
      <c r="I9" s="397"/>
      <c r="J9" s="397"/>
      <c r="K9" s="397"/>
      <c r="L9" s="397"/>
      <c r="M9" s="397"/>
      <c r="N9" s="397"/>
      <c r="O9" s="397"/>
    </row>
    <row r="10" spans="2:15">
      <c r="B10" s="397"/>
      <c r="C10" s="397"/>
      <c r="D10" s="397"/>
      <c r="E10" s="397"/>
      <c r="F10" s="397"/>
      <c r="G10" s="397"/>
      <c r="H10" s="397"/>
      <c r="I10" s="397"/>
      <c r="J10" s="397"/>
      <c r="K10" s="397"/>
      <c r="L10" s="397"/>
      <c r="M10" s="397"/>
      <c r="N10" s="397"/>
      <c r="O10" s="397"/>
    </row>
    <row r="11" spans="2:15">
      <c r="B11" s="397"/>
      <c r="C11" s="397"/>
      <c r="D11" s="397"/>
      <c r="E11" s="397"/>
      <c r="F11" s="397"/>
      <c r="G11" s="397"/>
      <c r="H11" s="397"/>
      <c r="I11" s="397"/>
      <c r="J11" s="397"/>
      <c r="K11" s="397"/>
      <c r="L11" s="397"/>
      <c r="M11" s="397"/>
      <c r="N11" s="397"/>
      <c r="O11" s="397"/>
    </row>
    <row r="12" spans="2:15">
      <c r="B12" s="397"/>
      <c r="C12" s="397"/>
      <c r="D12" s="397"/>
      <c r="E12" s="397"/>
      <c r="F12" s="397"/>
      <c r="G12" s="397"/>
      <c r="H12" s="397"/>
      <c r="I12" s="397"/>
      <c r="J12" s="397"/>
      <c r="K12" s="397"/>
      <c r="L12" s="397"/>
      <c r="M12" s="397"/>
      <c r="N12" s="397"/>
      <c r="O12" s="397"/>
    </row>
    <row r="13" spans="2:15">
      <c r="B13" s="397"/>
      <c r="C13" s="397"/>
      <c r="D13" s="397"/>
      <c r="E13" s="397"/>
      <c r="F13" s="397"/>
      <c r="G13" s="397"/>
      <c r="H13" s="397"/>
      <c r="I13" s="397"/>
      <c r="J13" s="397"/>
      <c r="K13" s="397"/>
      <c r="L13" s="397"/>
      <c r="M13" s="397"/>
      <c r="N13" s="397"/>
      <c r="O13" s="397"/>
    </row>
    <row r="14" spans="2:15">
      <c r="B14" s="397"/>
      <c r="C14" s="397"/>
      <c r="D14" s="397"/>
      <c r="E14" s="397"/>
      <c r="F14" s="397"/>
      <c r="G14" s="397"/>
      <c r="H14" s="397"/>
      <c r="I14" s="397"/>
      <c r="J14" s="397"/>
      <c r="K14" s="397"/>
      <c r="L14" s="397"/>
      <c r="M14" s="397"/>
      <c r="N14" s="397"/>
      <c r="O14" s="397"/>
    </row>
    <row r="15" spans="2:15">
      <c r="B15" s="397"/>
      <c r="C15" s="397"/>
      <c r="D15" s="397"/>
      <c r="E15" s="397"/>
      <c r="F15" s="397"/>
      <c r="G15" s="397"/>
      <c r="H15" s="397"/>
      <c r="I15" s="397"/>
      <c r="J15" s="397"/>
      <c r="K15" s="397"/>
      <c r="L15" s="397"/>
      <c r="M15" s="397"/>
      <c r="N15" s="397"/>
      <c r="O15" s="397"/>
    </row>
    <row r="16" spans="2:15">
      <c r="B16" s="397"/>
      <c r="C16" s="397"/>
      <c r="D16" s="397"/>
      <c r="E16" s="397"/>
      <c r="F16" s="397"/>
      <c r="G16" s="397"/>
      <c r="H16" s="397"/>
      <c r="I16" s="397"/>
      <c r="J16" s="397"/>
      <c r="K16" s="397"/>
      <c r="L16" s="397"/>
      <c r="M16" s="397"/>
      <c r="N16" s="397"/>
      <c r="O16" s="397"/>
    </row>
    <row r="17" spans="2:15">
      <c r="B17" s="397"/>
      <c r="C17" s="397"/>
      <c r="D17" s="397"/>
      <c r="E17" s="397"/>
      <c r="F17" s="397"/>
      <c r="G17" s="397"/>
      <c r="H17" s="397"/>
      <c r="I17" s="397"/>
      <c r="J17" s="397"/>
      <c r="K17" s="397"/>
      <c r="L17" s="397"/>
      <c r="M17" s="397"/>
      <c r="N17" s="397"/>
      <c r="O17" s="397"/>
    </row>
    <row r="18" spans="2:15">
      <c r="B18" s="397"/>
      <c r="C18" s="397"/>
      <c r="D18" s="397"/>
      <c r="E18" s="397"/>
      <c r="F18" s="397"/>
      <c r="G18" s="397"/>
      <c r="H18" s="397"/>
      <c r="I18" s="397"/>
      <c r="J18" s="397"/>
      <c r="K18" s="397"/>
      <c r="L18" s="397"/>
      <c r="M18" s="397"/>
      <c r="N18" s="397"/>
      <c r="O18" s="397"/>
    </row>
    <row r="19" spans="2:15">
      <c r="B19" s="397"/>
      <c r="C19" s="397"/>
      <c r="D19" s="397"/>
      <c r="E19" s="397"/>
      <c r="F19" s="397"/>
      <c r="G19" s="397"/>
      <c r="H19" s="397"/>
      <c r="I19" s="397"/>
      <c r="J19" s="397"/>
      <c r="K19" s="397"/>
      <c r="L19" s="397"/>
      <c r="M19" s="397"/>
      <c r="N19" s="397"/>
      <c r="O19" s="397"/>
    </row>
    <row r="20" spans="2:15">
      <c r="B20" s="397"/>
      <c r="C20" s="397"/>
      <c r="D20" s="397"/>
      <c r="E20" s="397"/>
      <c r="F20" s="397"/>
      <c r="G20" s="397"/>
      <c r="H20" s="397"/>
      <c r="I20" s="397"/>
      <c r="J20" s="397"/>
      <c r="K20" s="397"/>
      <c r="L20" s="397"/>
      <c r="M20" s="397"/>
      <c r="N20" s="397"/>
      <c r="O20" s="397"/>
    </row>
    <row r="21" spans="2:15">
      <c r="B21" s="397"/>
      <c r="C21" s="397"/>
      <c r="D21" s="397"/>
      <c r="E21" s="397"/>
      <c r="F21" s="397"/>
      <c r="G21" s="397"/>
      <c r="H21" s="397"/>
      <c r="I21" s="397"/>
      <c r="J21" s="397"/>
      <c r="K21" s="397"/>
      <c r="L21" s="397"/>
      <c r="M21" s="397"/>
      <c r="N21" s="397"/>
      <c r="O21" s="397"/>
    </row>
    <row r="22" spans="2:15">
      <c r="B22" s="397"/>
      <c r="C22" s="397"/>
      <c r="D22" s="397"/>
      <c r="E22" s="397"/>
      <c r="F22" s="397"/>
      <c r="G22" s="397"/>
      <c r="H22" s="397"/>
      <c r="I22" s="397"/>
      <c r="J22" s="397"/>
      <c r="K22" s="397"/>
      <c r="L22" s="397"/>
      <c r="M22" s="397"/>
      <c r="N22" s="397"/>
      <c r="O22" s="397"/>
    </row>
    <row r="23" spans="2:15">
      <c r="B23" s="397"/>
      <c r="C23" s="397"/>
      <c r="D23" s="397"/>
      <c r="E23" s="397"/>
      <c r="F23" s="397"/>
      <c r="G23" s="397"/>
      <c r="H23" s="397"/>
      <c r="I23" s="397"/>
      <c r="J23" s="397"/>
      <c r="K23" s="397"/>
      <c r="L23" s="397"/>
      <c r="M23" s="397"/>
      <c r="N23" s="397"/>
      <c r="O23" s="397"/>
    </row>
    <row r="24" spans="2:15">
      <c r="B24" s="397"/>
      <c r="C24" s="397"/>
      <c r="D24" s="397"/>
      <c r="E24" s="397"/>
      <c r="F24" s="397"/>
      <c r="G24" s="397"/>
      <c r="H24" s="397"/>
      <c r="I24" s="397"/>
      <c r="J24" s="397"/>
      <c r="K24" s="397"/>
      <c r="L24" s="397"/>
      <c r="M24" s="397"/>
      <c r="N24" s="397"/>
      <c r="O24" s="397"/>
    </row>
    <row r="25" spans="2:15">
      <c r="B25" s="397"/>
      <c r="C25" s="397"/>
      <c r="D25" s="397"/>
      <c r="E25" s="397"/>
      <c r="F25" s="397"/>
      <c r="G25" s="397"/>
      <c r="H25" s="397"/>
      <c r="I25" s="397"/>
      <c r="J25" s="397"/>
      <c r="K25" s="397"/>
      <c r="L25" s="397"/>
      <c r="M25" s="397"/>
      <c r="N25" s="397"/>
      <c r="O25" s="397"/>
    </row>
    <row r="26" spans="2:15">
      <c r="B26" s="397"/>
      <c r="C26" s="397"/>
      <c r="D26" s="397"/>
      <c r="E26" s="397"/>
      <c r="F26" s="397"/>
      <c r="G26" s="397"/>
      <c r="H26" s="397"/>
      <c r="I26" s="397"/>
      <c r="J26" s="397"/>
      <c r="K26" s="397"/>
      <c r="L26" s="397"/>
      <c r="M26" s="397"/>
      <c r="N26" s="397"/>
      <c r="O26" s="397"/>
    </row>
    <row r="27" spans="2:15">
      <c r="B27" s="397"/>
      <c r="C27" s="397"/>
      <c r="D27" s="397"/>
      <c r="E27" s="397"/>
      <c r="F27" s="397"/>
      <c r="G27" s="397"/>
      <c r="H27" s="397"/>
      <c r="I27" s="397"/>
      <c r="J27" s="397"/>
      <c r="K27" s="397"/>
      <c r="L27" s="397"/>
      <c r="M27" s="397"/>
      <c r="N27" s="397"/>
      <c r="O27" s="397"/>
    </row>
    <row r="28" spans="2:15">
      <c r="B28" s="397"/>
      <c r="C28" s="397"/>
      <c r="D28" s="397"/>
      <c r="E28" s="397"/>
      <c r="F28" s="397"/>
      <c r="G28" s="397"/>
      <c r="H28" s="397"/>
      <c r="I28" s="397"/>
      <c r="J28" s="397"/>
      <c r="K28" s="397"/>
      <c r="L28" s="397"/>
      <c r="M28" s="397"/>
      <c r="N28" s="397"/>
      <c r="O28" s="397"/>
    </row>
    <row r="29" spans="2:15">
      <c r="B29" s="397"/>
      <c r="C29" s="397"/>
      <c r="D29" s="397"/>
      <c r="E29" s="397"/>
      <c r="F29" s="397"/>
      <c r="G29" s="397"/>
      <c r="H29" s="397"/>
      <c r="I29" s="397"/>
      <c r="J29" s="397"/>
      <c r="K29" s="397"/>
      <c r="L29" s="397"/>
      <c r="M29" s="397"/>
      <c r="N29" s="397"/>
      <c r="O29" s="397"/>
    </row>
    <row r="30" spans="2:15">
      <c r="B30" s="397"/>
      <c r="C30" s="397"/>
      <c r="D30" s="397"/>
      <c r="E30" s="397"/>
      <c r="F30" s="397"/>
      <c r="G30" s="397"/>
      <c r="H30" s="397"/>
      <c r="I30" s="397"/>
      <c r="J30" s="397"/>
      <c r="K30" s="397"/>
      <c r="L30" s="397"/>
      <c r="M30" s="397"/>
      <c r="N30" s="397"/>
      <c r="O30" s="397"/>
    </row>
    <row r="31" spans="2:15">
      <c r="B31" s="397"/>
      <c r="C31" s="397"/>
      <c r="D31" s="397"/>
      <c r="E31" s="397"/>
      <c r="F31" s="397"/>
      <c r="G31" s="397"/>
      <c r="H31" s="397"/>
      <c r="I31" s="397"/>
      <c r="J31" s="397"/>
      <c r="K31" s="397"/>
      <c r="L31" s="397"/>
      <c r="M31" s="397"/>
      <c r="N31" s="397"/>
      <c r="O31" s="397"/>
    </row>
    <row r="32" spans="2:15">
      <c r="B32" s="397"/>
      <c r="C32" s="397"/>
      <c r="D32" s="397"/>
      <c r="E32" s="397"/>
      <c r="F32" s="397"/>
      <c r="G32" s="397"/>
      <c r="H32" s="397"/>
      <c r="I32" s="397"/>
      <c r="J32" s="397"/>
      <c r="K32" s="397"/>
      <c r="L32" s="397"/>
      <c r="M32" s="397"/>
      <c r="N32" s="397"/>
      <c r="O32" s="397"/>
    </row>
    <row r="33" spans="2:15">
      <c r="B33" s="397"/>
      <c r="C33" s="397"/>
      <c r="D33" s="397"/>
      <c r="E33" s="397"/>
      <c r="F33" s="397"/>
      <c r="G33" s="397"/>
      <c r="H33" s="397"/>
      <c r="I33" s="397"/>
      <c r="J33" s="397"/>
      <c r="K33" s="397"/>
      <c r="L33" s="397"/>
      <c r="M33" s="397"/>
      <c r="N33" s="397"/>
      <c r="O33" s="397"/>
    </row>
    <row r="34" spans="2:15">
      <c r="B34" s="397"/>
      <c r="C34" s="397"/>
      <c r="D34" s="397"/>
      <c r="E34" s="397"/>
      <c r="F34" s="397"/>
      <c r="G34" s="397"/>
      <c r="H34" s="397"/>
      <c r="I34" s="397"/>
      <c r="J34" s="397"/>
      <c r="K34" s="397"/>
      <c r="L34" s="397"/>
      <c r="M34" s="397"/>
      <c r="N34" s="397"/>
      <c r="O34" s="397"/>
    </row>
    <row r="35" spans="2:15">
      <c r="B35" s="397"/>
      <c r="C35" s="397"/>
      <c r="D35" s="397"/>
      <c r="E35" s="397"/>
      <c r="F35" s="397"/>
      <c r="G35" s="397"/>
      <c r="H35" s="397"/>
      <c r="I35" s="397"/>
      <c r="J35" s="397"/>
      <c r="K35" s="397"/>
      <c r="L35" s="397"/>
      <c r="M35" s="397"/>
      <c r="N35" s="397"/>
      <c r="O35" s="397"/>
    </row>
    <row r="36" spans="2:15">
      <c r="B36" s="397"/>
      <c r="C36" s="397"/>
      <c r="D36" s="397"/>
      <c r="E36" s="397"/>
      <c r="F36" s="397"/>
      <c r="G36" s="397"/>
      <c r="H36" s="397"/>
      <c r="I36" s="397"/>
      <c r="J36" s="397"/>
      <c r="K36" s="397"/>
      <c r="L36" s="397"/>
      <c r="M36" s="397"/>
      <c r="N36" s="397"/>
      <c r="O36" s="397"/>
    </row>
  </sheetData>
  <mergeCells count="1">
    <mergeCell ref="B3:O3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ublishingExpirationDate xmlns="http://schemas.microsoft.com/sharepoint/v3" xsi:nil="tru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38E1B41A3954946A9C47C945B925B65" ma:contentTypeVersion="1" ma:contentTypeDescription="Create a new document." ma:contentTypeScope="" ma:versionID="cf204bd0ed078e8b0c80e3ae1fb1026e">
  <xsd:schema xmlns:xsd="http://www.w3.org/2001/XMLSchema" xmlns:xs="http://www.w3.org/2001/XMLSchema" xmlns:p="http://schemas.microsoft.com/office/2006/metadata/properties" xmlns:ns1="http://schemas.microsoft.com/sharepoint/v3" targetNamespace="http://schemas.microsoft.com/office/2006/metadata/properties" ma:root="true" ma:fieldsID="a447206dab0015f8b9f8924535193e8c"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C21C7-B3AE-4FF3-BC6A-5B220A0411FA}">
  <ds:schemaRefs>
    <ds:schemaRef ds:uri="http://schemas.microsoft.com/sharepoint/v3/contenttype/forms"/>
  </ds:schemaRefs>
</ds:datastoreItem>
</file>

<file path=customXml/itemProps2.xml><?xml version="1.0" encoding="utf-8"?>
<ds:datastoreItem xmlns:ds="http://schemas.openxmlformats.org/officeDocument/2006/customXml" ds:itemID="{23792744-DCB5-4B73-B2CB-04DFE0E9FD3D}">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microsoft.com/sharepoint/v3"/>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C676A293-996C-48B0-9B0A-189B216A02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21</vt:i4>
      </vt:variant>
    </vt:vector>
  </HeadingPairs>
  <TitlesOfParts>
    <vt:vector size="28" baseType="lpstr">
      <vt:lpstr>Instructions</vt:lpstr>
      <vt:lpstr>Contact And Business Process</vt:lpstr>
      <vt:lpstr>Custom Runtime Settings</vt:lpstr>
      <vt:lpstr>Change Control</vt:lpstr>
      <vt:lpstr>Example</vt:lpstr>
      <vt:lpstr>Adding a new BAC Monitor</vt:lpstr>
      <vt:lpstr>Changing a BAC monitor</vt:lpstr>
      <vt:lpstr>Example!Data_Management</vt:lpstr>
      <vt:lpstr>Data_Management</vt:lpstr>
      <vt:lpstr>Example!ECO</vt:lpstr>
      <vt:lpstr>ECO</vt:lpstr>
      <vt:lpstr>Example!EDS</vt:lpstr>
      <vt:lpstr>EDS</vt:lpstr>
      <vt:lpstr>Example!FAIT</vt:lpstr>
      <vt:lpstr>FAIT</vt:lpstr>
      <vt:lpstr>Example!GITFS</vt:lpstr>
      <vt:lpstr>GITFS</vt:lpstr>
      <vt:lpstr>Example!GlobalTelecom_ITSEC</vt:lpstr>
      <vt:lpstr>Example!IPG</vt:lpstr>
      <vt:lpstr>Example!ITIO</vt:lpstr>
      <vt:lpstr>Example!Non_IT_Owned</vt:lpstr>
      <vt:lpstr>Non_IT_Owned</vt:lpstr>
      <vt:lpstr>'Contact And Business Process'!Print_Area</vt:lpstr>
      <vt:lpstr>Example!Print_Area</vt:lpstr>
      <vt:lpstr>Example!SAP_SC</vt:lpstr>
      <vt:lpstr>SAP_SC</vt:lpstr>
      <vt:lpstr>Example!TSG</vt:lpstr>
      <vt:lpstr>TSG</vt:lpstr>
    </vt:vector>
  </TitlesOfParts>
  <Company>Mercury Corp.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Jeremy Friedenthal</dc:creator>
  <cp:lastModifiedBy>Ronnie Falgout</cp:lastModifiedBy>
  <cp:lastPrinted>2008-06-03T16:18:01Z</cp:lastPrinted>
  <dcterms:created xsi:type="dcterms:W3CDTF">2005-09-26T20:12:01Z</dcterms:created>
  <dcterms:modified xsi:type="dcterms:W3CDTF">2011-04-27T13:57:05Z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0x010100938E1B41A3954946A9C47C945B925B65</vt:lpwstr>
  </property>
</Properties>
</file>